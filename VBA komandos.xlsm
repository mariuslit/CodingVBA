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ctrlProps/ctrlProp15.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filterPrivacy="1" codeName="ThisWorkbook" defaultThemeVersion="124226"/>
  <bookViews>
    <workbookView xWindow="240" yWindow="105" windowWidth="14805" windowHeight="8010" tabRatio="762"/>
  </bookViews>
  <sheets>
    <sheet name="Komandos" sheetId="1" r:id="rId1"/>
    <sheet name="Veiksmai su CELĖMIS" sheetId="6" r:id="rId2"/>
    <sheet name="MacroBandymai" sheetId="7" r:id="rId3"/>
    <sheet name="PivotTableAnalizė" sheetId="14" r:id="rId4"/>
    <sheet name="Mano filmografija" sheetId="11" r:id="rId5"/>
    <sheet name="Koordinatės" sheetId="10" r:id="rId6"/>
    <sheet name="Trumpi Kodai" sheetId="9" r:id="rId7"/>
    <sheet name="Kintamųjų tipai" sheetId="4" r:id="rId8"/>
    <sheet name="VBA Funkcijos EN" sheetId="2" r:id="rId9"/>
    <sheet name="VBA sakiniai EN" sheetId="5" r:id="rId10"/>
    <sheet name="Išeiti iš ciklo" sheetId="21" r:id="rId11"/>
    <sheet name="UserForms" sheetId="20" r:id="rId12"/>
    <sheet name="Lapas3" sheetId="19" r:id="rId13"/>
    <sheet name="VBA kodo sintaksės analizė" sheetId="8" r:id="rId14"/>
    <sheet name="Interaktyvi VBA procedura" sheetId="13" r:id="rId15"/>
    <sheet name="Lapas1" sheetId="17" r:id="rId16"/>
    <sheet name="Formų tyrinėjimai" sheetId="18" r:id="rId17"/>
    <sheet name="Baitai" sheetId="12" r:id="rId18"/>
    <sheet name="GamPlanKontrol" sheetId="15" r:id="rId19"/>
    <sheet name="HID" sheetId="16" r:id="rId20"/>
  </sheets>
  <functionGroups builtInGroupCount="18"/>
  <definedNames>
    <definedName name="a">UserForms!#REF!,UserForms!#REF!</definedName>
    <definedName name="Antraste">MacroBandymai!#REF!</definedName>
    <definedName name="cond">UserForms!$D$4:$D$12</definedName>
    <definedName name="DuomenųFiltras_Katalogas3">#N/A</definedName>
    <definedName name="DuomenųFiltras_Katalogas4">#N/A</definedName>
    <definedName name="DuomenųFiltras_Katalogas5">#N/A</definedName>
    <definedName name="Kiekis">MacroBandymai!#REF!</definedName>
    <definedName name="Nr">MacroBandymai!#REF!</definedName>
    <definedName name="Pavadinimas">MacroBandymai!#REF!</definedName>
    <definedName name="_xlnm.Print_Area" localSheetId="0">Komandos!$A$1:$B$59</definedName>
    <definedName name="_xlnm.Print_Area" localSheetId="6">'Trumpi Kodai'!$A$1:$C$16</definedName>
    <definedName name="_xlnm.Print_Area" localSheetId="1">'Veiksmai su CELĖMIS'!$A$1:$C$44</definedName>
  </definedNames>
  <calcPr calcId="171027"/>
  <pivotCaches>
    <pivotCache cacheId="1" r:id="rId21"/>
  </pivotCaches>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5:slicerCaches>
    </ext>
  </extLst>
</workbook>
</file>

<file path=xl/calcChain.xml><?xml version="1.0" encoding="utf-8"?>
<calcChain xmlns="http://schemas.openxmlformats.org/spreadsheetml/2006/main">
  <c r="D2" i="20" l="1"/>
  <c r="E12" i="17" l="1"/>
  <c r="A3" i="11" l="1"/>
  <c r="I6" i="11"/>
  <c r="J6" i="11" s="1"/>
  <c r="I7" i="11"/>
  <c r="J7" i="11" s="1"/>
  <c r="I8" i="11"/>
  <c r="J8" i="11" s="1"/>
  <c r="I9" i="11"/>
  <c r="J9" i="11" s="1"/>
  <c r="I10" i="11"/>
  <c r="J10" i="11" s="1"/>
  <c r="I11" i="11"/>
  <c r="J11" i="11" s="1"/>
  <c r="I12" i="11"/>
  <c r="J12" i="11" s="1"/>
  <c r="I13" i="11"/>
  <c r="J13" i="11" s="1"/>
  <c r="I5" i="11"/>
  <c r="J5" i="11" s="1"/>
  <c r="K11" i="11" l="1"/>
  <c r="E11" i="11" s="1"/>
  <c r="K13" i="11"/>
  <c r="E13" i="11" s="1"/>
  <c r="K12" i="11"/>
  <c r="E12" i="11" s="1"/>
  <c r="K10" i="11"/>
  <c r="E10" i="11" s="1"/>
  <c r="K7" i="11"/>
  <c r="K6" i="11"/>
  <c r="K9" i="11"/>
  <c r="K8" i="11"/>
  <c r="K5" i="11"/>
  <c r="F3" i="11"/>
  <c r="L7" i="11" l="1"/>
  <c r="F7" i="11"/>
  <c r="F6" i="11"/>
  <c r="L6" i="11"/>
  <c r="L9" i="11"/>
  <c r="F9" i="11" s="1"/>
  <c r="F8" i="11"/>
  <c r="L8" i="11"/>
  <c r="E8" i="11"/>
  <c r="E6" i="11"/>
  <c r="L12" i="11"/>
  <c r="E9" i="11"/>
  <c r="E7" i="11"/>
  <c r="L10" i="11"/>
  <c r="F10" i="11" s="1"/>
  <c r="L13" i="11"/>
  <c r="F13" i="11" s="1"/>
  <c r="L11" i="11"/>
  <c r="F5" i="11"/>
  <c r="E5" i="11"/>
  <c r="L5" i="11"/>
  <c r="B10" i="11"/>
  <c r="G11" i="11" l="1"/>
  <c r="M11" i="11"/>
  <c r="M6" i="11"/>
  <c r="G6" i="11"/>
  <c r="M10" i="11"/>
  <c r="G10" i="11"/>
  <c r="M12" i="11"/>
  <c r="G12" i="11"/>
  <c r="G9" i="11"/>
  <c r="M9" i="11"/>
  <c r="M13" i="11"/>
  <c r="F12" i="11"/>
  <c r="M8" i="11"/>
  <c r="G8" i="11"/>
  <c r="F11" i="11"/>
  <c r="G7" i="11"/>
  <c r="M7" i="11"/>
  <c r="M5" i="11"/>
  <c r="G5" i="11"/>
  <c r="H13" i="11" l="1"/>
  <c r="N13" i="11"/>
  <c r="H9" i="11"/>
  <c r="N9" i="11"/>
  <c r="H7" i="11"/>
  <c r="N7" i="11"/>
  <c r="G13" i="11"/>
  <c r="N12" i="11"/>
  <c r="H12" i="11"/>
  <c r="N10" i="11"/>
  <c r="H10" i="11"/>
  <c r="N6" i="11"/>
  <c r="H6" i="11"/>
  <c r="N8" i="11"/>
  <c r="H8" i="11"/>
  <c r="H11" i="11"/>
  <c r="N11" i="11"/>
  <c r="H5" i="11"/>
  <c r="N5" i="11"/>
  <c r="B13" i="11"/>
  <c r="B12" i="11"/>
  <c r="B9" i="11"/>
  <c r="B8" i="11"/>
  <c r="B7" i="11"/>
  <c r="B6" i="11"/>
  <c r="B11" i="11"/>
  <c r="B5" i="11"/>
  <c r="A4" i="12"/>
  <c r="C4" i="12"/>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D103" i="12" s="1"/>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B3" i="11" l="1"/>
  <c r="A1" i="7"/>
  <c r="B1" i="7"/>
</calcChain>
</file>

<file path=xl/comments1.xml><?xml version="1.0" encoding="utf-8"?>
<comments xmlns="http://schemas.openxmlformats.org/spreadsheetml/2006/main">
  <authors>
    <author>Author</author>
  </authors>
  <commentList>
    <comment ref="D20" authorId="0" shapeId="0">
      <text>
        <r>
          <rPr>
            <b/>
            <sz val="9"/>
            <color indexed="81"/>
            <rFont val="Tahoma"/>
            <family val="2"/>
            <charset val="186"/>
          </rPr>
          <t xml:space="preserve">Author:
</t>
        </r>
      </text>
    </comment>
  </commentList>
</comments>
</file>

<file path=xl/sharedStrings.xml><?xml version="1.0" encoding="utf-8"?>
<sst xmlns="http://schemas.openxmlformats.org/spreadsheetml/2006/main" count="962" uniqueCount="816">
  <si>
    <t>Makrokomandos xxx pradžia</t>
  </si>
  <si>
    <t>Ens Sub</t>
  </si>
  <si>
    <t>Sub xxx()</t>
  </si>
  <si>
    <t>VBA Functions for Excel VBA Programming</t>
  </si>
  <si>
    <t>VBA Function</t>
  </si>
  <si>
    <t>What It Does</t>
  </si>
  <si>
    <t>Abs</t>
  </si>
  <si>
    <t>Returns the absolute value of a number</t>
  </si>
  <si>
    <t>Array</t>
  </si>
  <si>
    <t>Returns a variant that contains an array</t>
  </si>
  <si>
    <t>Asc</t>
  </si>
  <si>
    <t>Converts the first character of string to its ASCII value</t>
  </si>
  <si>
    <t>Atn</t>
  </si>
  <si>
    <t>Returns the arctangent of a number</t>
  </si>
  <si>
    <t>CBool</t>
  </si>
  <si>
    <t>Converts an expression to Boolean data type</t>
  </si>
  <si>
    <t>CByte</t>
  </si>
  <si>
    <t>Converts an expression to byte data type</t>
  </si>
  <si>
    <t>CCur</t>
  </si>
  <si>
    <t>Converts an expression to currency data type</t>
  </si>
  <si>
    <t>CDate</t>
  </si>
  <si>
    <t>Converts an expression to date data type</t>
  </si>
  <si>
    <t>CDbl</t>
  </si>
  <si>
    <t>Converts an expression to double data type</t>
  </si>
  <si>
    <t>CDec</t>
  </si>
  <si>
    <t>Converts an expression to decimal data type</t>
  </si>
  <si>
    <t>Choose</t>
  </si>
  <si>
    <t>Selects and returns a value from a list of arguments</t>
  </si>
  <si>
    <t>Chr</t>
  </si>
  <si>
    <t>Converts an ANSI value to a character</t>
  </si>
  <si>
    <t>CInt</t>
  </si>
  <si>
    <t>Converts an expression to integer data type</t>
  </si>
  <si>
    <t>CLng</t>
  </si>
  <si>
    <t>Converts an expression to long data type</t>
  </si>
  <si>
    <t>Cos</t>
  </si>
  <si>
    <t>Returns the cosine of a number</t>
  </si>
  <si>
    <t>CreateObject</t>
  </si>
  <si>
    <t>Creates an OLE Automation object</t>
  </si>
  <si>
    <t>CSng</t>
  </si>
  <si>
    <t>Converts an expression to single data type</t>
  </si>
  <si>
    <t>CStr</t>
  </si>
  <si>
    <t>Converts an expression to string data type</t>
  </si>
  <si>
    <t>CurDir</t>
  </si>
  <si>
    <t>Returns the current path</t>
  </si>
  <si>
    <t>CVar</t>
  </si>
  <si>
    <t>Converts an expression to variant data type</t>
  </si>
  <si>
    <t>CVDate</t>
  </si>
  <si>
    <t>CVErr</t>
  </si>
  <si>
    <t>Returns a user-defined error type</t>
  </si>
  <si>
    <t>Date</t>
  </si>
  <si>
    <t>Returns the current system date</t>
  </si>
  <si>
    <t>DateAdd</t>
  </si>
  <si>
    <t>Returns a date with a specific date interval added to it</t>
  </si>
  <si>
    <t>DateDiff</t>
  </si>
  <si>
    <t>Returns the difference between two dates as a time interval</t>
  </si>
  <si>
    <t>DatePart</t>
  </si>
  <si>
    <t>Returns an integer containing a specific part of a date</t>
  </si>
  <si>
    <t>DateSerial</t>
  </si>
  <si>
    <t>Returns a date for a specified year, month, and day</t>
  </si>
  <si>
    <t>DateValue</t>
  </si>
  <si>
    <t>Converts a string to date</t>
  </si>
  <si>
    <t>Day</t>
  </si>
  <si>
    <t>Returns the day of the month of a date</t>
  </si>
  <si>
    <t>Dir</t>
  </si>
  <si>
    <t>Returns the name of a file or directory that matches a pattern</t>
  </si>
  <si>
    <t>DoEvents</t>
  </si>
  <si>
    <t>Yields execution so the operating system can process other events</t>
  </si>
  <si>
    <t>EOF</t>
  </si>
  <si>
    <t>Returns True if the end of a text file has been reached</t>
  </si>
  <si>
    <t>Error</t>
  </si>
  <si>
    <t>Returns the error message that corresponds to an error number</t>
  </si>
  <si>
    <t>Exp</t>
  </si>
  <si>
    <t>Returns the base of the natural logarithms (e) raised to a power</t>
  </si>
  <si>
    <t>FileAttr</t>
  </si>
  <si>
    <t>Returns the file mode for a text file</t>
  </si>
  <si>
    <t>FileDateTime</t>
  </si>
  <si>
    <t>Returns the date and time when a file was last modified</t>
  </si>
  <si>
    <t>FileLen</t>
  </si>
  <si>
    <t>Returns the number of bytes in a file</t>
  </si>
  <si>
    <t>Fix</t>
  </si>
  <si>
    <t>Returns the integer portion of a number</t>
  </si>
  <si>
    <t>Format</t>
  </si>
  <si>
    <t>Returns an expression in a particular format</t>
  </si>
  <si>
    <t>FormatCurrency</t>
  </si>
  <si>
    <t>Returns a number as a string, formatted as currency</t>
  </si>
  <si>
    <t>FormatDateTime</t>
  </si>
  <si>
    <t>Returns a number as a string, formatted as a date and/or time</t>
  </si>
  <si>
    <t>FormatNumber</t>
  </si>
  <si>
    <t>Returns a number as a formatted string</t>
  </si>
  <si>
    <t>FormatPercent</t>
  </si>
  <si>
    <t>Returns a number as a string, formatted as a percentage</t>
  </si>
  <si>
    <t>FreeFile</t>
  </si>
  <si>
    <t>Returns the next file number available for use by the Open statement</t>
  </si>
  <si>
    <t>GetAll</t>
  </si>
  <si>
    <t>Returns a list of key settings and their values (originally created with SaveSetting) from an application’s entry in the Windows registry</t>
  </si>
  <si>
    <t>GetAttr</t>
  </si>
  <si>
    <t>Returns a code representing a file attribute</t>
  </si>
  <si>
    <t>GetObject</t>
  </si>
  <si>
    <t>Retrieves an OLE Automation object from a file</t>
  </si>
  <si>
    <t>GetSetting</t>
  </si>
  <si>
    <t>Returns a key setting value from an application’s entry in the Windows registry</t>
  </si>
  <si>
    <t>Hex</t>
  </si>
  <si>
    <t>Converts from decimal to hexadecimal</t>
  </si>
  <si>
    <t>Hour</t>
  </si>
  <si>
    <t>Returns the hour of a time</t>
  </si>
  <si>
    <t>IIf</t>
  </si>
  <si>
    <t>Returns one of two parts, depending on the evaluation of an expression</t>
  </si>
  <si>
    <t>Input</t>
  </si>
  <si>
    <t>Returns a specific number of characters from an open text file</t>
  </si>
  <si>
    <t>InputBox</t>
  </si>
  <si>
    <t>Displays a box to prompt a user for input, and returns the value entered</t>
  </si>
  <si>
    <t>InStr</t>
  </si>
  <si>
    <t>Returns the position of a string within another string</t>
  </si>
  <si>
    <t>InStrRev</t>
  </si>
  <si>
    <t>Returns the position of a string within another string, beginning at the back end of the string</t>
  </si>
  <si>
    <t>Int</t>
  </si>
  <si>
    <t>IsArray</t>
  </si>
  <si>
    <t>Returns True if a variable is an array</t>
  </si>
  <si>
    <t>IsDate</t>
  </si>
  <si>
    <t>Returns True if a variable is a date</t>
  </si>
  <si>
    <t>IsEmpty</t>
  </si>
  <si>
    <t>Returns True if a variable has not been initialized</t>
  </si>
  <si>
    <t>IsError</t>
  </si>
  <si>
    <t>Returns True if an expression is an error value</t>
  </si>
  <si>
    <t>IsMissing</t>
  </si>
  <si>
    <t>Returns True if an optional argument was not passed to a Procedure</t>
  </si>
  <si>
    <t>IsNull</t>
  </si>
  <si>
    <t>Returns True if an expression contains no valid data</t>
  </si>
  <si>
    <t>IsNumeric</t>
  </si>
  <si>
    <t>Returns True if an expression can be evaluated as a number</t>
  </si>
  <si>
    <t>IsObject</t>
  </si>
  <si>
    <t>Returns True if an expression references an OLE Automation object</t>
  </si>
  <si>
    <t>Join</t>
  </si>
  <si>
    <t>Returns a string created by joining a number of substrings contained in an array</t>
  </si>
  <si>
    <t>LBound</t>
  </si>
  <si>
    <t>Returns the lower bound of an array</t>
  </si>
  <si>
    <t>LCase</t>
  </si>
  <si>
    <t>Returns a string converted to lowercase</t>
  </si>
  <si>
    <t>Left</t>
  </si>
  <si>
    <t>Returns a specified number of characters from the left of a string</t>
  </si>
  <si>
    <t>Len</t>
  </si>
  <si>
    <t>Returns the length of a string, in characters</t>
  </si>
  <si>
    <t>Loc</t>
  </si>
  <si>
    <t>Returns the current read or write position of a text file</t>
  </si>
  <si>
    <t>LOF</t>
  </si>
  <si>
    <t>Returns the number of bytes in an open text file</t>
  </si>
  <si>
    <t>Log</t>
  </si>
  <si>
    <t>Returns the natural logarithm of a number</t>
  </si>
  <si>
    <t>LTrim</t>
  </si>
  <si>
    <t>Returns a copy of a string with no leading spaces</t>
  </si>
  <si>
    <t>Mid</t>
  </si>
  <si>
    <t>Returns a specified number of characters from a string</t>
  </si>
  <si>
    <t>MidB</t>
  </si>
  <si>
    <t>Returns a specified number of bytes from a specified position in a string string</t>
  </si>
  <si>
    <t>Minute</t>
  </si>
  <si>
    <t>Returns the minute of a time</t>
  </si>
  <si>
    <t>Month</t>
  </si>
  <si>
    <t>Returns the month of a date</t>
  </si>
  <si>
    <t>MonthName</t>
  </si>
  <si>
    <t>Returns a string indicating the specified month</t>
  </si>
  <si>
    <t>MsgBox</t>
  </si>
  <si>
    <t>Displays a modal message box and returns the ID of the button clicked</t>
  </si>
  <si>
    <t>Now</t>
  </si>
  <si>
    <t>Returns the current system date and time</t>
  </si>
  <si>
    <t>Oct</t>
  </si>
  <si>
    <t>Converts from decimal to octal</t>
  </si>
  <si>
    <t>Replace</t>
  </si>
  <si>
    <t>Returns a string in which one substring is replaced with another</t>
  </si>
  <si>
    <t>RGB</t>
  </si>
  <si>
    <t>Returns a number representing an RGB color value</t>
  </si>
  <si>
    <t>Right</t>
  </si>
  <si>
    <t>Returns a specified number of characters from the right of a string</t>
  </si>
  <si>
    <t>Rnd</t>
  </si>
  <si>
    <t>Returns a random number between 0 and 1</t>
  </si>
  <si>
    <t>Round</t>
  </si>
  <si>
    <t>Rounds a number to a specific number of decimal places</t>
  </si>
  <si>
    <t>RTrim</t>
  </si>
  <si>
    <t>Returns a copy of a string with no trailing spaces</t>
  </si>
  <si>
    <t>Second</t>
  </si>
  <si>
    <t>Returns the second of a time</t>
  </si>
  <si>
    <t>Seek</t>
  </si>
  <si>
    <t>Returns the current position in a text file</t>
  </si>
  <si>
    <t>Sgn</t>
  </si>
  <si>
    <t>Returns an integer that indicates the sign of a number</t>
  </si>
  <si>
    <t>Shell</t>
  </si>
  <si>
    <t>Runs an executable program</t>
  </si>
  <si>
    <t>Sin</t>
  </si>
  <si>
    <t>Returns the sine of a number</t>
  </si>
  <si>
    <t>Space</t>
  </si>
  <si>
    <t>Returns a string with a specified number of spaces</t>
  </si>
  <si>
    <t>Split</t>
  </si>
  <si>
    <t>Returns an array consisting of a number of substrings</t>
  </si>
  <si>
    <t>Sqr</t>
  </si>
  <si>
    <t>Returns the square root of a number</t>
  </si>
  <si>
    <t>Str</t>
  </si>
  <si>
    <t>Returns a string representation of a number</t>
  </si>
  <si>
    <t>StrComp</t>
  </si>
  <si>
    <t>Returns a value indicating the result of a string comparison</t>
  </si>
  <si>
    <t>StrConv</t>
  </si>
  <si>
    <t>Returns a string variant converted as specified</t>
  </si>
  <si>
    <t>String</t>
  </si>
  <si>
    <t>Returns a repeating character or string</t>
  </si>
  <si>
    <t>StrReverse</t>
  </si>
  <si>
    <t>Returns the characters of a string in reverse order</t>
  </si>
  <si>
    <t>Switch</t>
  </si>
  <si>
    <t>Evaluates a list of expressions and returns a value associated with the first expression in the list that is True</t>
  </si>
  <si>
    <t>Tab</t>
  </si>
  <si>
    <t>Positions output in an output stream</t>
  </si>
  <si>
    <t>Tan</t>
  </si>
  <si>
    <t>Returns the tangent of a number</t>
  </si>
  <si>
    <t>Time</t>
  </si>
  <si>
    <t>Returns the current system time</t>
  </si>
  <si>
    <t>Timer</t>
  </si>
  <si>
    <t>Returns the number of seconds since midnight</t>
  </si>
  <si>
    <t>TimeSerial</t>
  </si>
  <si>
    <t>Returns the time for a specified hour, minute, and second</t>
  </si>
  <si>
    <t>TimeValue</t>
  </si>
  <si>
    <t>Converts a string to a time serial number</t>
  </si>
  <si>
    <t>Trim</t>
  </si>
  <si>
    <t>Returns a string without leading and spaces and replaces multiple spaces with a single space</t>
  </si>
  <si>
    <t>TypeName</t>
  </si>
  <si>
    <t>Returns a string that describes the data type of a variable</t>
  </si>
  <si>
    <t>UBound</t>
  </si>
  <si>
    <t>Returns the upper bound of an array</t>
  </si>
  <si>
    <t>UCase</t>
  </si>
  <si>
    <t>Converts a string to uppercase</t>
  </si>
  <si>
    <t>Val</t>
  </si>
  <si>
    <t>Returns the numbers contained in a string</t>
  </si>
  <si>
    <t>VarType</t>
  </si>
  <si>
    <t>Returns a value indicating the subtype of a variable</t>
  </si>
  <si>
    <t>Weekday</t>
  </si>
  <si>
    <t>Returns a number representing a day of the week</t>
  </si>
  <si>
    <t>Weekday Name</t>
  </si>
  <si>
    <t>Returns a string indicating the specified weekday</t>
  </si>
  <si>
    <t>Year</t>
  </si>
  <si>
    <t>Returns the year of a date</t>
  </si>
  <si>
    <t>Makrokomandos xxx pabaiga</t>
  </si>
  <si>
    <t>Dim x As ...</t>
  </si>
  <si>
    <t>Komanda</t>
  </si>
  <si>
    <t>Aprašas</t>
  </si>
  <si>
    <t>Integer</t>
  </si>
  <si>
    <t>Boolean</t>
  </si>
  <si>
    <t>Kintamųjų tipo priskyrimas</t>
  </si>
  <si>
    <t>Next x</t>
  </si>
  <si>
    <t>Ciklo pabaiga</t>
  </si>
  <si>
    <t>Ciklas su kintamuoju x</t>
  </si>
  <si>
    <t>Ciklo x pabaiga</t>
  </si>
  <si>
    <t>Do While x</t>
  </si>
  <si>
    <t>Loop</t>
  </si>
  <si>
    <t>Ciklas koltenkina sąlygą x</t>
  </si>
  <si>
    <t>End If</t>
  </si>
  <si>
    <t>Select Case x</t>
  </si>
  <si>
    <t>End Select</t>
  </si>
  <si>
    <t>...</t>
  </si>
  <si>
    <t>Teksto eilutė</t>
  </si>
  <si>
    <t>Loginis</t>
  </si>
  <si>
    <t>(sveikasis skaičius)</t>
  </si>
  <si>
    <t>Long</t>
  </si>
  <si>
    <t>(ilgas sveikasis skaičius)</t>
  </si>
  <si>
    <t>Single</t>
  </si>
  <si>
    <t>(viengubo tikslumo su</t>
  </si>
  <si>
    <t>plaukiojančiu kableliu</t>
  </si>
  <si>
    <t>realusis skaičius )</t>
  </si>
  <si>
    <t>Double</t>
  </si>
  <si>
    <t>(dvigubo tikslumo su</t>
  </si>
  <si>
    <t>realusis skaičius)</t>
  </si>
  <si>
    <t>Currency</t>
  </si>
  <si>
    <t>(piniginis vienetas)</t>
  </si>
  <si>
    <t>Decimal</t>
  </si>
  <si>
    <t>(dešimtainis skaičius,</t>
  </si>
  <si>
    <t>kablelio į dešinę; mažiausias ne nulinis skaičius yra</t>
  </si>
  <si>
    <t>+/-0.0000000000000000000000000001</t>
  </si>
  <si>
    <t>(kintamasis simbolių</t>
  </si>
  <si>
    <t>skaičius)</t>
  </si>
  <si>
    <t>10 baitų +</t>
  </si>
  <si>
    <t>simbolių</t>
  </si>
  <si>
    <t>skaičius</t>
  </si>
  <si>
    <t>0 iki apytiksliai 2 Gb</t>
  </si>
  <si>
    <t>(fiksuotasis simbolių</t>
  </si>
  <si>
    <t>Simbolių</t>
  </si>
  <si>
    <t>1 iki apytiksliai 65,400 baitų</t>
  </si>
  <si>
    <t>Variant</t>
  </si>
  <si>
    <t>(universalusis skaičiams)</t>
  </si>
  <si>
    <t>(universalusis simboliams)</t>
  </si>
  <si>
    <t>22 baitai +</t>
  </si>
  <si>
    <t>Type</t>
  </si>
  <si>
    <t>(vartotojo duomenų tipas)</t>
  </si>
  <si>
    <t>Sujungti keli duomenų tipai</t>
  </si>
  <si>
    <r>
      <t xml:space="preserve">kaip </t>
    </r>
    <r>
      <rPr>
        <i/>
        <sz val="11"/>
        <color rgb="FF000000"/>
        <rFont val="TimesNewRomanPS-ItalicMT"/>
      </rPr>
      <t xml:space="preserve">Variant </t>
    </r>
    <r>
      <rPr>
        <sz val="11"/>
        <color rgb="FF000000"/>
        <rFont val="TimesNewRomanPSMT"/>
      </rPr>
      <t>tipas su</t>
    </r>
  </si>
  <si>
    <r>
      <t xml:space="preserve">funkcija </t>
    </r>
    <r>
      <rPr>
        <i/>
        <sz val="11"/>
        <color rgb="FF000000"/>
        <rFont val="TimesNewRomanPS-ItalicMT"/>
      </rPr>
      <t>CDec</t>
    </r>
    <r>
      <rPr>
        <sz val="11"/>
        <color rgb="FF000000"/>
        <rFont val="TimesNewRomanPSMT"/>
      </rPr>
      <t>)</t>
    </r>
  </si>
  <si>
    <r>
      <t xml:space="preserve">kaip ir </t>
    </r>
    <r>
      <rPr>
        <i/>
        <sz val="11"/>
        <color rgb="FF000000"/>
        <rFont val="TimesNewRomanPS-ItalicMT"/>
      </rPr>
      <t>String</t>
    </r>
  </si>
  <si>
    <r>
      <t xml:space="preserve">Byte </t>
    </r>
    <r>
      <rPr>
        <sz val="11"/>
        <color rgb="FF000000"/>
        <rFont val="TimesNewRomanPSMT"/>
      </rPr>
      <t xml:space="preserve">(sveikasis skaičius) </t>
    </r>
  </si>
  <si>
    <t xml:space="preserve">1 baitas </t>
  </si>
  <si>
    <t>0 iki 255</t>
  </si>
  <si>
    <r>
      <t xml:space="preserve">Boolean </t>
    </r>
    <r>
      <rPr>
        <sz val="11"/>
        <color rgb="FF000000"/>
        <rFont val="TimesNewRomanPSMT"/>
      </rPr>
      <t xml:space="preserve">(loginis) </t>
    </r>
  </si>
  <si>
    <t xml:space="preserve">2 baitai </t>
  </si>
  <si>
    <t>True (teisinga) arba False (neteisinga)</t>
  </si>
  <si>
    <r>
      <t xml:space="preserve">Date </t>
    </r>
    <r>
      <rPr>
        <sz val="11"/>
        <color rgb="FF000000"/>
        <rFont val="TimesNewRomanPSMT"/>
      </rPr>
      <t xml:space="preserve">(data) </t>
    </r>
  </si>
  <si>
    <t xml:space="preserve">8 baitai </t>
  </si>
  <si>
    <t>January 1, 100 to December 31, 9999</t>
  </si>
  <si>
    <r>
      <t xml:space="preserve">Object </t>
    </r>
    <r>
      <rPr>
        <sz val="11"/>
        <color rgb="FF000000"/>
        <rFont val="TimesNewRomanPSMT"/>
      </rPr>
      <t xml:space="preserve">(objektas) </t>
    </r>
  </si>
  <si>
    <t xml:space="preserve">4 baitai </t>
  </si>
  <si>
    <t>Objekto adresas</t>
  </si>
  <si>
    <t xml:space="preserve">Duomenų tipas </t>
  </si>
  <si>
    <t xml:space="preserve">Dydis </t>
  </si>
  <si>
    <t>Sritis</t>
  </si>
  <si>
    <t>-32,768 iki 32,767</t>
  </si>
  <si>
    <t>-2,147,483,648 iki 2,147,483,647</t>
  </si>
  <si>
    <t>-922,337,203,685,477.5808 iki 922,337,203,685,477.5807</t>
  </si>
  <si>
    <t xml:space="preserve">14 baitų </t>
  </si>
  <si>
    <t>+/-79,228,162,514,264,337,593,543,950,335 be dešimtainio kablelio;</t>
  </si>
  <si>
    <t xml:space="preserve">16 baitų </t>
  </si>
  <si>
    <t>kaip ir Double</t>
  </si>
  <si>
    <t>Priklauso nuo tipų</t>
  </si>
  <si>
    <t>simbolių skaičius</t>
  </si>
  <si>
    <t>nuo -1.79769313486231 E-308 iki</t>
  </si>
  <si>
    <t>iki -4.94065645841247 E-324 neigiamosioms reikšmėms;</t>
  </si>
  <si>
    <t xml:space="preserve">nuo 4.94065645841247 E-324 </t>
  </si>
  <si>
    <t>iki 1.79769313486232 E-308  teigiamsioms reikšmėms</t>
  </si>
  <si>
    <t>nuo -3.402823E-38 iki -1.401298E-45 neigiamosioms reikšmėms;</t>
  </si>
  <si>
    <t>nuo 1.401298E-45 iki 3.402823E-38 teigiamosioms reikšmėms</t>
  </si>
  <si>
    <t xml:space="preserve"> +/-7.9228162514264337593543950335 su 28 vietomis po</t>
  </si>
  <si>
    <t>For x=1 To y Step z</t>
  </si>
  <si>
    <t>ElseIf ... Then</t>
  </si>
  <si>
    <t>If x=1 Then ...</t>
  </si>
  <si>
    <t>Else ...</t>
  </si>
  <si>
    <t>Case Else ...</t>
  </si>
  <si>
    <t>Sąlyginis</t>
  </si>
  <si>
    <t>Tarpinė sąlyga</t>
  </si>
  <si>
    <t>Išsiaiškinti</t>
  </si>
  <si>
    <t>Tenkinti kai x yra 1</t>
  </si>
  <si>
    <t>Tenkinti kai x yra nuo 2 iki 5</t>
  </si>
  <si>
    <t>Case Is 1</t>
  </si>
  <si>
    <t>Case 2 To 5 ...</t>
  </si>
  <si>
    <t>x = 1</t>
  </si>
  <si>
    <t>x = x + 1</t>
  </si>
  <si>
    <t>Kintamajam priskirti reikšmę 1</t>
  </si>
  <si>
    <t>Kintamajam priskirti reikšmę 1+1</t>
  </si>
  <si>
    <t>Informacijos išvedimas į papildomą langą "Box"</t>
  </si>
  <si>
    <t>x = Cells(3,2).Value</t>
  </si>
  <si>
    <t>Priskirti Langeliui B3 reikšmę x</t>
  </si>
  <si>
    <t>Cells(3,2).Value = x</t>
  </si>
  <si>
    <t>Priskirti kintamajam x langelio B3 reikšmę</t>
  </si>
  <si>
    <t>3,2 = B3</t>
  </si>
  <si>
    <t>x = InputBox ("Įveskite Nr.")</t>
  </si>
  <si>
    <t>MsgBox "Nr. yra: " &amp; x</t>
  </si>
  <si>
    <t>VBA komandos</t>
  </si>
  <si>
    <t>Pažymėti langelį pagal reliatyvias koordinates</t>
  </si>
  <si>
    <t>Beep</t>
  </si>
  <si>
    <t>VBA Statement</t>
  </si>
  <si>
    <t>AppActivate</t>
  </si>
  <si>
    <t>Activates an application window</t>
  </si>
  <si>
    <t>Sounds a tone via the computer's speaker</t>
  </si>
  <si>
    <t>Call</t>
  </si>
  <si>
    <t>Transfers control to another procedure</t>
  </si>
  <si>
    <t>ChDir</t>
  </si>
  <si>
    <t>Changes the current directory</t>
  </si>
  <si>
    <t>ChDrive</t>
  </si>
  <si>
    <t>Changes the current drive</t>
  </si>
  <si>
    <t>Close</t>
  </si>
  <si>
    <t>Closes a text file</t>
  </si>
  <si>
    <t>Const</t>
  </si>
  <si>
    <t>Declares a constant value</t>
  </si>
  <si>
    <t>Sets the current system date</t>
  </si>
  <si>
    <t>Declare</t>
  </si>
  <si>
    <t>Declares a reference to an external procedure in a Dynamic Link Library (DLL)</t>
  </si>
  <si>
    <t>DeleteSetting</t>
  </si>
  <si>
    <t>Deletes a section or key setting from an application's entry in the Windows Registry</t>
  </si>
  <si>
    <t>Dim</t>
  </si>
  <si>
    <t>Declares variables and (optionally) their data types</t>
  </si>
  <si>
    <t>Do-Loop</t>
  </si>
  <si>
    <t>Loops through a set of instructions</t>
  </si>
  <si>
    <t>End</t>
  </si>
  <si>
    <t>Used by itself, exits the program; also used to end a block of statements that begin with If, With, Sub, Function, Property, Type, or Select</t>
  </si>
  <si>
    <t>Erase</t>
  </si>
  <si>
    <t>Re-initializes an array</t>
  </si>
  <si>
    <t>Simulates a specific error condition</t>
  </si>
  <si>
    <t>Exit Do</t>
  </si>
  <si>
    <t>Exits a block of Do-Loop code</t>
  </si>
  <si>
    <t>Exit For</t>
  </si>
  <si>
    <t>Exits a block of For-Next code</t>
  </si>
  <si>
    <t>Exit Function</t>
  </si>
  <si>
    <t>Exits a Function procedure</t>
  </si>
  <si>
    <t>Exit Property</t>
  </si>
  <si>
    <t>Exits a property procedure</t>
  </si>
  <si>
    <t>Exit Sub</t>
  </si>
  <si>
    <t>Exits a subroutine procedure</t>
  </si>
  <si>
    <t>FileCopy</t>
  </si>
  <si>
    <t>Copies a file</t>
  </si>
  <si>
    <t>For Each-Next</t>
  </si>
  <si>
    <t>Loops through a set of instructions for each member of a collection</t>
  </si>
  <si>
    <t>For-Next</t>
  </si>
  <si>
    <t>Loops through a set of instructions a specific number of times</t>
  </si>
  <si>
    <t>Function</t>
  </si>
  <si>
    <t>Declares the name and arguments for a Function procedure</t>
  </si>
  <si>
    <t>Get</t>
  </si>
  <si>
    <t>Reads data from a text file</t>
  </si>
  <si>
    <t>GoSub...Return</t>
  </si>
  <si>
    <t>Branches to and returns from a procedure</t>
  </si>
  <si>
    <t>GoTo</t>
  </si>
  <si>
    <t>Branches to a specified statement within a procedure</t>
  </si>
  <si>
    <t>If-Then-Else</t>
  </si>
  <si>
    <t>Processes statements conditionally (the Else part is optional)</t>
  </si>
  <si>
    <t>Input #</t>
  </si>
  <si>
    <t>Reads data from a sequential text file</t>
  </si>
  <si>
    <t>Kill</t>
  </si>
  <si>
    <t>Deletes a file</t>
  </si>
  <si>
    <t>Let</t>
  </si>
  <si>
    <t>Assigns the value of an expression to a variable or property</t>
  </si>
  <si>
    <t>Line Input #</t>
  </si>
  <si>
    <t>Reads a line of data from a sequential text file</t>
  </si>
  <si>
    <t>Load</t>
  </si>
  <si>
    <t>Loads an object but doesn't show it</t>
  </si>
  <si>
    <t>Lock...Unlock</t>
  </si>
  <si>
    <t>Controls access to a text file</t>
  </si>
  <si>
    <t>Replaces characters in a string with other characters</t>
  </si>
  <si>
    <t>MkDir</t>
  </si>
  <si>
    <t>Creates a new directory</t>
  </si>
  <si>
    <t>Name</t>
  </si>
  <si>
    <t>Renames a file or directory</t>
  </si>
  <si>
    <t>On Error</t>
  </si>
  <si>
    <t>Gives specific instructions for what to do in the case of an error</t>
  </si>
  <si>
    <t>On...GoSub</t>
  </si>
  <si>
    <t>Branches, based on a condition</t>
  </si>
  <si>
    <t>On...GoTo</t>
  </si>
  <si>
    <t>Open</t>
  </si>
  <si>
    <t>Opens a text file</t>
  </si>
  <si>
    <t>Option Base</t>
  </si>
  <si>
    <t>Changes the default lower limit for arrays</t>
  </si>
  <si>
    <t>Option Compare</t>
  </si>
  <si>
    <t>Declares the default comparison mode when comparing strings</t>
  </si>
  <si>
    <t>Option Explicit</t>
  </si>
  <si>
    <t>Forces declaration of all variables in a module</t>
  </si>
  <si>
    <t>Option Private</t>
  </si>
  <si>
    <t>Indicates that an entire module is Private</t>
  </si>
  <si>
    <t>Print #</t>
  </si>
  <si>
    <t>Writes data to a sequential file</t>
  </si>
  <si>
    <t>Private</t>
  </si>
  <si>
    <t>Declares a local array or variable</t>
  </si>
  <si>
    <t>Property Get</t>
  </si>
  <si>
    <t>Declares the name and arguments of a Property Get procedure</t>
  </si>
  <si>
    <t>Property Let</t>
  </si>
  <si>
    <t>Declares the name and arguments of a Property Let procedure</t>
  </si>
  <si>
    <t>Property Set</t>
  </si>
  <si>
    <t>Declares the name and arguments of a Property Set procedure</t>
  </si>
  <si>
    <t>Public</t>
  </si>
  <si>
    <t>Declares a public array or variable</t>
  </si>
  <si>
    <t>Put</t>
  </si>
  <si>
    <t>Writes a variable to a text file</t>
  </si>
  <si>
    <t>RaiseEvent</t>
  </si>
  <si>
    <t>Fires a user-defined event</t>
  </si>
  <si>
    <t>Randomize</t>
  </si>
  <si>
    <t>Initializes the random number generator</t>
  </si>
  <si>
    <t>ReDim</t>
  </si>
  <si>
    <t>Changes the dimensions of an array</t>
  </si>
  <si>
    <t>Rem</t>
  </si>
  <si>
    <t>Specifies a line of comments (same as an apostrophe ['])</t>
  </si>
  <si>
    <t>Reset</t>
  </si>
  <si>
    <t>Closes all open text files</t>
  </si>
  <si>
    <t>Resume</t>
  </si>
  <si>
    <t>Resumes execution when an error-handling routine finishes</t>
  </si>
  <si>
    <t>RmDir</t>
  </si>
  <si>
    <t>Removes an empty directory</t>
  </si>
  <si>
    <t>SaveSetting</t>
  </si>
  <si>
    <t>Saves or creates an application entry in the Windows Registry</t>
  </si>
  <si>
    <t>Sets the position for the next access in a text file</t>
  </si>
  <si>
    <t>Select Case</t>
  </si>
  <si>
    <t>Processes statements conditionally</t>
  </si>
  <si>
    <t>SendKeys</t>
  </si>
  <si>
    <t>Sends keystrokes to the active window</t>
  </si>
  <si>
    <t>Set</t>
  </si>
  <si>
    <t>Assigns an object reference to a variable or property</t>
  </si>
  <si>
    <t>SetAttr</t>
  </si>
  <si>
    <t>Changes attribute information for a file</t>
  </si>
  <si>
    <t>Static</t>
  </si>
  <si>
    <t>Declares variables at the procedure level so that the variables retain their values as long as the code is running and the project hasn't been reset.</t>
  </si>
  <si>
    <t>Stop</t>
  </si>
  <si>
    <t>Pauses the program</t>
  </si>
  <si>
    <t>Sub</t>
  </si>
  <si>
    <t>Declares the name and arguments of a Sub procedure</t>
  </si>
  <si>
    <t>Sets the system time</t>
  </si>
  <si>
    <t>Defines a custom data type</t>
  </si>
  <si>
    <t>Unload</t>
  </si>
  <si>
    <t>Removes an object from memory</t>
  </si>
  <si>
    <t>While...Wend</t>
  </si>
  <si>
    <t>Loops through a set of instructions as long as a certain condition remains true</t>
  </si>
  <si>
    <t>Width #</t>
  </si>
  <si>
    <t>Sets the output line width of a text file</t>
  </si>
  <si>
    <t>With</t>
  </si>
  <si>
    <t>Allows a shorthand way of accessing multiple properties for an object</t>
  </si>
  <si>
    <t>Write #</t>
  </si>
  <si>
    <t>Writes data to a sequential text file</t>
  </si>
  <si>
    <t>Common VBA Statements for Excel VBA Programming</t>
  </si>
  <si>
    <t>su pele bakstelėti celę A3</t>
  </si>
  <si>
    <t>Kopijuoti pažymėtas celes</t>
  </si>
  <si>
    <t>Priskirti aktyviai celei reikšmę 35</t>
  </si>
  <si>
    <t>Nušokti į pirmą užimtą langelį viršuje</t>
  </si>
  <si>
    <t>VEIKSMAI</t>
  </si>
  <si>
    <t>Pažymėti lentelės pirmojo stulpelio antraštę</t>
  </si>
  <si>
    <t xml:space="preserve">    Selection.End(xlToRight).Select</t>
  </si>
  <si>
    <t xml:space="preserve">    Selection.End(xlDown).Select</t>
  </si>
  <si>
    <t xml:space="preserve">    Selection.End(xlToLeft).Select</t>
  </si>
  <si>
    <t xml:space="preserve">    Selection.End(xlUp).Select</t>
  </si>
  <si>
    <t>Nušokti į pirmą užimtą langelį dešinėje</t>
  </si>
  <si>
    <t>Nušokti į pirmą užimtą langelį apačioje</t>
  </si>
  <si>
    <t>Nušokti į pirmą užimtą langelį kairėje</t>
  </si>
  <si>
    <t>nežinau kuo skiriasi šie veiksmai, bet abu veikiantys, tiek su Value, tiek be</t>
  </si>
  <si>
    <t xml:space="preserve">    Sheets("MacroBandymai").Select</t>
  </si>
  <si>
    <t xml:space="preserve">    Range("C3:F11").Select</t>
  </si>
  <si>
    <t xml:space="preserve">    Range("D4").Activate</t>
  </si>
  <si>
    <t>Pažymėti bloką C3:F11</t>
  </si>
  <si>
    <t>Aktyvuoti tame bloke celę D4</t>
  </si>
  <si>
    <t>Pažymėti lapą "MacroBandymai"</t>
  </si>
  <si>
    <t xml:space="preserve">    Selection.Copy</t>
  </si>
  <si>
    <t xml:space="preserve">    ActiveCell.Offset(1, 0).Select</t>
  </si>
  <si>
    <t xml:space="preserve">    ActiveSheet.Paste</t>
  </si>
  <si>
    <t xml:space="preserve">    Application.CutCopyMode = False</t>
  </si>
  <si>
    <t>tarpinis veiksmas</t>
  </si>
  <si>
    <t xml:space="preserve">    x = Range("B1")</t>
  </si>
  <si>
    <t xml:space="preserve">    Range("B2") = x</t>
  </si>
  <si>
    <t>B2 langeliui priskirti [įrašyti] kintamojo reikšmę</t>
  </si>
  <si>
    <t xml:space="preserve">    x = Range("B1").Value</t>
  </si>
  <si>
    <t xml:space="preserve">    Range("B2").Value = x</t>
  </si>
  <si>
    <t xml:space="preserve">    ActiveCell.Offset(1,0).Select</t>
  </si>
  <si>
    <t xml:space="preserve">    Range ("B3").Select</t>
  </si>
  <si>
    <t xml:space="preserve">    Range("Table1[[#Headers],[Column1]]").Select</t>
  </si>
  <si>
    <t xml:space="preserve">    Windows("VBA komandos.xlsm").Activate</t>
  </si>
  <si>
    <t xml:space="preserve">    ActiveWorkbook.Save</t>
  </si>
  <si>
    <t xml:space="preserve">    ActiveWindow.Close</t>
  </si>
  <si>
    <t xml:space="preserve">    Application.WindowState = xlNormal</t>
  </si>
  <si>
    <t>nežinau ką reiškia</t>
  </si>
  <si>
    <t>Įklijuoja nukopijuotą langelį</t>
  </si>
  <si>
    <t>Nuima aktyvaus veiksmo režimą</t>
  </si>
  <si>
    <t>Trina pažymėtos celės turinį</t>
  </si>
  <si>
    <t xml:space="preserve">    Selection.ClearContents</t>
  </si>
  <si>
    <t xml:space="preserve">    Beep</t>
  </si>
  <si>
    <t>Standartinis Windows pyptelėjimas</t>
  </si>
  <si>
    <t>Išsaugoti aktyvią darbo knygą</t>
  </si>
  <si>
    <t>Uždaryti aktyvią darbo knygą</t>
  </si>
  <si>
    <t>Priskirti aktyviai celei reikšmę 8</t>
  </si>
  <si>
    <t xml:space="preserve">    Cells(1, 1) = "Namas"</t>
  </si>
  <si>
    <t xml:space="preserve">    ActiveCell.Value = 35</t>
  </si>
  <si>
    <t>nežinau kuo skiriasi šie veiksmai, bet atlieka tą patį veiksmą</t>
  </si>
  <si>
    <t xml:space="preserve">    Cells(3, 2).Select</t>
  </si>
  <si>
    <t>Celės pažymėjimo būdas 1</t>
  </si>
  <si>
    <t>Celės pažymėjimo būdas 2</t>
  </si>
  <si>
    <t>Kintamajam priskirti B1 langelioreikšmę</t>
  </si>
  <si>
    <t>Kintamajam priskirti B1 langelio reikšmę</t>
  </si>
  <si>
    <t>Veiksmai ir jų eiliškumas</t>
  </si>
  <si>
    <t xml:space="preserve">    Workbooks.Open Filename:="C:\Users\Marius\Desktop\sosos.xlsx"</t>
  </si>
  <si>
    <t>Lango [failo] aktyvavimas</t>
  </si>
  <si>
    <t>Failo atidarymas</t>
  </si>
  <si>
    <t>WorkBook Open Save Close</t>
  </si>
  <si>
    <t>SELECTION Sheet, Cell, Table</t>
  </si>
  <si>
    <t xml:space="preserve">    Range("Table1[#All]").Select</t>
  </si>
  <si>
    <t xml:space="preserve">    Range("Table1").Select</t>
  </si>
  <si>
    <t>TABLE</t>
  </si>
  <si>
    <t>Pažymėti lentelės Table1 antraštę Column1</t>
  </si>
  <si>
    <t>Pažymėti visą lentelės Table1 sritį, su antraštėmis</t>
  </si>
  <si>
    <t>Pažymėti visą lentelės Table1 sritį, be antraščių</t>
  </si>
  <si>
    <t>Dim x(1 To 100) As Integer</t>
  </si>
  <si>
    <t>Dim x(0 To 100) As Integer</t>
  </si>
  <si>
    <t>Dim x(100) As Integer</t>
  </si>
  <si>
    <t xml:space="preserve">    x = Cells(3,2).Value</t>
  </si>
  <si>
    <t xml:space="preserve">    Cells(3,2).Value = x</t>
  </si>
  <si>
    <t>Masyvo tipo apibrėžimas 100 narių</t>
  </si>
  <si>
    <t>Masyvo tipo apibrėžimas 101 narys</t>
  </si>
  <si>
    <t>Dim 3Dx(1 To 10, 1 To 10, 1 To 10) As Integer</t>
  </si>
  <si>
    <t>Trijų dimencijų matrica</t>
  </si>
  <si>
    <t>Dim 2Dx(1 To 9, 1 To 5) As Integer</t>
  </si>
  <si>
    <t>Matrica 9x5</t>
  </si>
  <si>
    <t xml:space="preserve">    Rows(3).Select</t>
  </si>
  <si>
    <t>Pažymėti visą 3 eilutę</t>
  </si>
  <si>
    <t xml:space="preserve">    x = Selection.Rows.Count</t>
  </si>
  <si>
    <t>Priskiria x reikšmę pažymėto bloko eilučių skaičius</t>
  </si>
  <si>
    <t xml:space="preserve">    x = Selection.Rows.Value</t>
  </si>
  <si>
    <t>Priskiria x pirmojo pažymįto bloko langelio reikšmę</t>
  </si>
  <si>
    <t>kuo skiriasi</t>
  </si>
  <si>
    <t>Sveikasis skaičius -32 768 to 32 767</t>
  </si>
  <si>
    <t>Vienmačio masyvo tipo apibrėžimas 101 narys</t>
  </si>
  <si>
    <t xml:space="preserve">    Range("I4,I6,I9,H2:K12").Select</t>
  </si>
  <si>
    <t xml:space="preserve">    Range("H2").Activate</t>
  </si>
  <si>
    <t xml:space="preserve">    ActiveCell.FormulaR1C1 = "35"</t>
  </si>
  <si>
    <t xml:space="preserve">    x = Cells(3,2)</t>
  </si>
  <si>
    <t xml:space="preserve">    Cells(3,2) = x</t>
  </si>
  <si>
    <t>Kelių langelių ir blokų žymėjimas</t>
  </si>
  <si>
    <t>Pažymėto bloko langelio aktyvinimas</t>
  </si>
  <si>
    <t xml:space="preserve">    a = Array(0, 4, 1, 1, 2, 1, 1, 13, 1, 2, 1)</t>
  </si>
  <si>
    <t xml:space="preserve">    Dim a As Variant</t>
  </si>
  <si>
    <t>bet koks skaičius arba tekstas</t>
  </si>
  <si>
    <t xml:space="preserve">    MsgBox a (1)</t>
  </si>
  <si>
    <t>Kintamajam a priskiriamas tipas Variant (bet koks)</t>
  </si>
  <si>
    <t>Kintamajam a priskiriamas masyvas</t>
  </si>
  <si>
    <t>Spausdinama reikšmė yra 4</t>
  </si>
  <si>
    <t>Target.Address = "$B$1"</t>
  </si>
  <si>
    <t>Pažymi tuščias cele A stulpelyje</t>
  </si>
  <si>
    <t>Ištrina pažymėtų celių eilutes</t>
  </si>
  <si>
    <t xml:space="preserve">    Range("A:A").SpecialCells(xlCellTypeBlanks).Select</t>
  </si>
  <si>
    <t xml:space="preserve">    Selection.EntireRow.Delete</t>
  </si>
  <si>
    <t xml:space="preserve">    Selection.EntireColumn.Delete</t>
  </si>
  <si>
    <t>Ištrina pažymėtų celių stulpelius</t>
  </si>
  <si>
    <t>Range("A1").ClearContents</t>
  </si>
  <si>
    <t xml:space="preserve">    Range("A1").ClearContents</t>
  </si>
  <si>
    <t>ActiveWorkbook</t>
  </si>
  <si>
    <t>ActiveWindow</t>
  </si>
  <si>
    <t>WindowState = xlNormal</t>
  </si>
  <si>
    <t>ActiveSheet</t>
  </si>
  <si>
    <t>Value</t>
  </si>
  <si>
    <t>ActiveCell</t>
  </si>
  <si>
    <t>Select</t>
  </si>
  <si>
    <t>Selection</t>
  </si>
  <si>
    <t>Save</t>
  </si>
  <si>
    <t>Range("Table1[[#Headers],[Column1]]")</t>
  </si>
  <si>
    <t>Paste</t>
  </si>
  <si>
    <t>Range("Table1[#All]")</t>
  </si>
  <si>
    <t>FormulaR1C1 = "35"</t>
  </si>
  <si>
    <t>Range("Table1")</t>
  </si>
  <si>
    <t>CutCopyMode = False</t>
  </si>
  <si>
    <t>Range("I4,I6,I9,H2:K12")</t>
  </si>
  <si>
    <t>Count</t>
  </si>
  <si>
    <t>Range("C3:F11")</t>
  </si>
  <si>
    <t>Copy</t>
  </si>
  <si>
    <t>Range ("B3")</t>
  </si>
  <si>
    <t>Rows</t>
  </si>
  <si>
    <t>Cells(3, 2)</t>
  </si>
  <si>
    <t>ClearContents</t>
  </si>
  <si>
    <t>End(xlUp)</t>
  </si>
  <si>
    <t>Rows(3)</t>
  </si>
  <si>
    <t>Cells(3,2)</t>
  </si>
  <si>
    <t>End(xlToRight)</t>
  </si>
  <si>
    <t>Sheets("MacroBandymai")</t>
  </si>
  <si>
    <t>Array(0, 4, 1, 1, 2, 1, 1, 13, 1, 2, 1)</t>
  </si>
  <si>
    <t>End(xlToLeft)</t>
  </si>
  <si>
    <t>Windows("VBA komandos.xlsm")</t>
  </si>
  <si>
    <t>Activate</t>
  </si>
  <si>
    <t>End(xlDown)</t>
  </si>
  <si>
    <t>Application</t>
  </si>
  <si>
    <t>Tarpinis žodis</t>
  </si>
  <si>
    <t xml:space="preserve">    Cells(ActiveCell.Row, 2).Activate</t>
  </si>
  <si>
    <t>Pažymi B stulpelį aktyvaus langelio eilutėje</t>
  </si>
  <si>
    <t>Trumpi Kodai</t>
  </si>
  <si>
    <t xml:space="preserve">    ActiveCell.CurrentRegion.Select</t>
  </si>
  <si>
    <t xml:space="preserve">    Exit Sub</t>
  </si>
  <si>
    <t>Nutraukti programos veikimą</t>
  </si>
  <si>
    <t>Metodas</t>
  </si>
  <si>
    <t>Objektas</t>
  </si>
  <si>
    <t>[C13]</t>
  </si>
  <si>
    <t xml:space="preserve">    [B3].Select</t>
  </si>
  <si>
    <t>Celės pažymėjimo būdas 3</t>
  </si>
  <si>
    <t>REIKŠMIŲ PRISKYRIMAI kintamiesiems</t>
  </si>
  <si>
    <t xml:space="preserve">    Columns(3).Select</t>
  </si>
  <si>
    <t xml:space="preserve">    Workbooks("Book1").Worksheets("Sheet1").Range("B3").Value = 12</t>
  </si>
  <si>
    <t>Aktyvaus regiono žymėjimas</t>
  </si>
  <si>
    <t>Reikšmės 12 priskyrimas langeliui B3, be žymėjimo</t>
  </si>
  <si>
    <t xml:space="preserve">    Range("A1").End(xlDown).Offset(1,0).Select</t>
  </si>
  <si>
    <t xml:space="preserve">    Columns("B:C").AutoFit</t>
  </si>
  <si>
    <t>Praplėsti stulpelio plotį pagal ilgiausią eilutę</t>
  </si>
  <si>
    <t xml:space="preserve">    Range ("B3").CurentRegion.Copy Worksheets("Sheet2").Range("A1")</t>
  </si>
  <si>
    <t>Kopijuoja be celių žymėjimo</t>
  </si>
  <si>
    <t>Pažymėti visą C stulpelį</t>
  </si>
  <si>
    <t xml:space="preserve">    Range("B:C").EntireColumn.AutoFit</t>
  </si>
  <si>
    <t>Praplečia stulpelius be celių žymėjimo</t>
  </si>
  <si>
    <t xml:space="preserve">    Worksheets.Add</t>
  </si>
  <si>
    <t xml:space="preserve">    Rows.Count</t>
  </si>
  <si>
    <t>Parodo kiek yra viso eilučių lentelėje (šioje=1'048'576)</t>
  </si>
  <si>
    <t>įterpti puslapį workseet</t>
  </si>
  <si>
    <t>pažymėti po paskutinės eilutės langelį</t>
  </si>
  <si>
    <t xml:space="preserve">    ActiveCell.Row</t>
  </si>
  <si>
    <t>Parodo aktyvios eilutės numerį</t>
  </si>
  <si>
    <t xml:space="preserve">    ActiveCell.Colum</t>
  </si>
  <si>
    <t>Parodo aktyvaus stulpelio numerį</t>
  </si>
  <si>
    <t>dar vienas celių žymėjimas</t>
  </si>
  <si>
    <t>Nr.</t>
  </si>
  <si>
    <t>Failai</t>
  </si>
  <si>
    <t>Offset(1,5).Select</t>
  </si>
  <si>
    <t>↓</t>
  </si>
  <si>
    <t>→</t>
  </si>
  <si>
    <t>[A1]</t>
  </si>
  <si>
    <t>G:\Kompiuterija\Kompiuterinės technikos pirkimai</t>
  </si>
  <si>
    <t>G:\Kompiuterija\Kompiuterių komponentai JPG</t>
  </si>
  <si>
    <t>G:\Kompiuterija\Nostalgija</t>
  </si>
  <si>
    <t>G:\Kompiuterija\Programos - patarimai</t>
  </si>
  <si>
    <t>G:\Kompiuterija\USB flash (mūsų turimų) greičių testai</t>
  </si>
  <si>
    <t>G:\Kompiuterija\Windows patarimai</t>
  </si>
  <si>
    <t>G:\Kompiuterija\WWW</t>
  </si>
  <si>
    <t>E:\</t>
  </si>
  <si>
    <t>D:\</t>
  </si>
  <si>
    <t>G:\</t>
  </si>
  <si>
    <t>E:\Filmai kuriuos verta laikyti</t>
  </si>
  <si>
    <t>Samsung</t>
  </si>
  <si>
    <t>SSD</t>
  </si>
  <si>
    <t>LinkoManija</t>
  </si>
  <si>
    <t>Motininio katalogo pavadinimas</t>
  </si>
  <si>
    <t>Stulpelis1</t>
  </si>
  <si>
    <t>Stulpelis2</t>
  </si>
  <si>
    <t>xxxxxxx</t>
  </si>
  <si>
    <r>
      <t>1 YB Yottabyte</t>
    </r>
    <r>
      <rPr>
        <sz val="14"/>
        <color rgb="FF232629"/>
        <rFont val="Georgia"/>
        <family val="1"/>
        <charset val="186"/>
      </rPr>
      <t> =</t>
    </r>
    <r>
      <rPr>
        <b/>
        <sz val="14"/>
        <color rgb="FF232629"/>
        <rFont val="Georgia"/>
        <family val="1"/>
        <charset val="186"/>
      </rPr>
      <t>1024</t>
    </r>
    <r>
      <rPr>
        <sz val="14"/>
        <color rgb="FF232629"/>
        <rFont val="Georgia"/>
        <family val="1"/>
        <charset val="186"/>
      </rPr>
      <t> </t>
    </r>
    <r>
      <rPr>
        <b/>
        <sz val="14"/>
        <color rgb="FF232629"/>
        <rFont val="Georgia"/>
        <family val="1"/>
        <charset val="186"/>
      </rPr>
      <t>ZB, =</t>
    </r>
    <r>
      <rPr>
        <sz val="14"/>
        <color rgb="FF232629"/>
        <rFont val="Georgia"/>
        <family val="1"/>
        <charset val="186"/>
      </rPr>
      <t>1,048,576 </t>
    </r>
    <r>
      <rPr>
        <b/>
        <sz val="14"/>
        <color rgb="FF232629"/>
        <rFont val="Georgia"/>
        <family val="1"/>
        <charset val="186"/>
      </rPr>
      <t>EB, =</t>
    </r>
    <r>
      <rPr>
        <sz val="14"/>
        <color rgb="FF232629"/>
        <rFont val="Georgia"/>
        <family val="1"/>
        <charset val="186"/>
      </rPr>
      <t>1,073,741,824 </t>
    </r>
    <r>
      <rPr>
        <b/>
        <sz val="14"/>
        <color rgb="FF232629"/>
        <rFont val="Georgia"/>
        <family val="1"/>
        <charset val="186"/>
      </rPr>
      <t>PB, =</t>
    </r>
    <r>
      <rPr>
        <sz val="14"/>
        <color rgb="FF232629"/>
        <rFont val="Georgia"/>
        <family val="1"/>
        <charset val="186"/>
      </rPr>
      <t>1,099,511,627,</t>
    </r>
  </si>
  <si>
    <t>1 YB</t>
  </si>
  <si>
    <r>
      <t>1 ZB Zettabyte</t>
    </r>
    <r>
      <rPr>
        <sz val="14"/>
        <color rgb="FF232629"/>
        <rFont val="Georgia"/>
        <family val="1"/>
        <charset val="186"/>
      </rPr>
      <t> =</t>
    </r>
    <r>
      <rPr>
        <b/>
        <sz val="14"/>
        <color rgb="FF232629"/>
        <rFont val="Georgia"/>
        <family val="1"/>
        <charset val="186"/>
      </rPr>
      <t>1024</t>
    </r>
    <r>
      <rPr>
        <sz val="14"/>
        <color rgb="FF232629"/>
        <rFont val="Georgia"/>
        <family val="1"/>
        <charset val="186"/>
      </rPr>
      <t> </t>
    </r>
    <r>
      <rPr>
        <b/>
        <sz val="14"/>
        <color rgb="FF232629"/>
        <rFont val="Georgia"/>
        <family val="1"/>
        <charset val="186"/>
      </rPr>
      <t>EB, =</t>
    </r>
    <r>
      <rPr>
        <sz val="14"/>
        <color rgb="FF232629"/>
        <rFont val="Georgia"/>
        <family val="1"/>
        <charset val="186"/>
      </rPr>
      <t>1,048,576 </t>
    </r>
    <r>
      <rPr>
        <b/>
        <sz val="14"/>
        <color rgb="FF232629"/>
        <rFont val="Georgia"/>
        <family val="1"/>
        <charset val="186"/>
      </rPr>
      <t>PB, =</t>
    </r>
    <r>
      <rPr>
        <sz val="14"/>
        <color rgb="FF232629"/>
        <rFont val="Georgia"/>
        <family val="1"/>
        <charset val="186"/>
      </rPr>
      <t>1,073,741,824 </t>
    </r>
    <r>
      <rPr>
        <b/>
        <sz val="14"/>
        <color rgb="FF232629"/>
        <rFont val="Georgia"/>
        <family val="1"/>
        <charset val="186"/>
      </rPr>
      <t>TB, =</t>
    </r>
    <r>
      <rPr>
        <sz val="14"/>
        <color rgb="FF232629"/>
        <rFont val="Georgia"/>
        <family val="1"/>
        <charset val="186"/>
      </rPr>
      <t>1,099,511,627,776 </t>
    </r>
    <r>
      <rPr>
        <b/>
        <sz val="14"/>
        <color rgb="FF232629"/>
        <rFont val="Georgia"/>
        <family val="1"/>
        <charset val="186"/>
      </rPr>
      <t>GB,</t>
    </r>
    <r>
      <rPr>
        <sz val="14"/>
        <color rgb="FF232629"/>
        <rFont val="Georgia"/>
        <family val="1"/>
        <charset val="186"/>
      </rPr>
      <t> </t>
    </r>
    <r>
      <rPr>
        <b/>
        <sz val="14"/>
        <color rgb="FF232629"/>
        <rFont val="Georgia"/>
        <family val="1"/>
        <charset val="186"/>
      </rPr>
      <t>=</t>
    </r>
    <r>
      <rPr>
        <sz val="14"/>
        <color rgb="FF232629"/>
        <rFont val="Georgia"/>
        <family val="1"/>
        <charset val="186"/>
      </rPr>
      <t>1,125,899,906,842,624 </t>
    </r>
    <r>
      <rPr>
        <b/>
        <sz val="14"/>
        <color rgb="FF232629"/>
        <rFont val="Georgia"/>
        <family val="1"/>
        <charset val="186"/>
      </rPr>
      <t>MB, =</t>
    </r>
    <r>
      <rPr>
        <sz val="14"/>
        <color rgb="FF232629"/>
        <rFont val="Georgia"/>
        <family val="1"/>
        <charset val="186"/>
      </rPr>
      <t>1,152,921,504,606,846,976 </t>
    </r>
    <r>
      <rPr>
        <b/>
        <sz val="14"/>
        <color rgb="FF232629"/>
        <rFont val="Georgia"/>
        <family val="1"/>
        <charset val="186"/>
      </rPr>
      <t>KB,</t>
    </r>
    <r>
      <rPr>
        <sz val="14"/>
        <color rgb="FF232629"/>
        <rFont val="Georgia"/>
        <family val="1"/>
        <charset val="186"/>
      </rPr>
      <t> </t>
    </r>
    <r>
      <rPr>
        <b/>
        <sz val="14"/>
        <color rgb="FF232629"/>
        <rFont val="Georgia"/>
        <family val="1"/>
        <charset val="186"/>
      </rPr>
      <t>=</t>
    </r>
    <r>
      <rPr>
        <sz val="14"/>
        <color rgb="FF232629"/>
        <rFont val="Georgia"/>
        <family val="1"/>
        <charset val="186"/>
      </rPr>
      <t>1,180,591,620,717,411,303,424 </t>
    </r>
    <r>
      <rPr>
        <b/>
        <sz val="14"/>
        <color rgb="FF232629"/>
        <rFont val="Georgia"/>
        <family val="1"/>
        <charset val="186"/>
      </rPr>
      <t>Bytes and</t>
    </r>
    <r>
      <rPr>
        <sz val="14"/>
        <color rgb="FF232629"/>
        <rFont val="Georgia"/>
        <family val="1"/>
        <charset val="186"/>
      </rPr>
      <t>9,444,732,965,739,290,427,392 </t>
    </r>
    <r>
      <rPr>
        <b/>
        <sz val="14"/>
        <color rgb="FF232629"/>
        <rFont val="Georgia"/>
        <family val="1"/>
        <charset val="186"/>
      </rPr>
      <t>bits </t>
    </r>
  </si>
  <si>
    <t>1 ZB</t>
  </si>
  <si>
    <r>
      <t>1 EB Exabyte</t>
    </r>
    <r>
      <rPr>
        <sz val="14"/>
        <color rgb="FF232629"/>
        <rFont val="Georgia"/>
        <family val="1"/>
        <charset val="186"/>
      </rPr>
      <t> =</t>
    </r>
    <r>
      <rPr>
        <b/>
        <sz val="14"/>
        <color rgb="FF232629"/>
        <rFont val="Georgia"/>
        <family val="1"/>
        <charset val="186"/>
      </rPr>
      <t>1024</t>
    </r>
    <r>
      <rPr>
        <sz val="14"/>
        <color rgb="FF232629"/>
        <rFont val="Georgia"/>
        <family val="1"/>
        <charset val="186"/>
      </rPr>
      <t> </t>
    </r>
    <r>
      <rPr>
        <b/>
        <sz val="14"/>
        <color rgb="FF232629"/>
        <rFont val="Georgia"/>
        <family val="1"/>
        <charset val="186"/>
      </rPr>
      <t>PB, =</t>
    </r>
    <r>
      <rPr>
        <sz val="14"/>
        <color rgb="FF232629"/>
        <rFont val="Georgia"/>
        <family val="1"/>
        <charset val="186"/>
      </rPr>
      <t> 1,048,576 </t>
    </r>
    <r>
      <rPr>
        <b/>
        <sz val="14"/>
        <color rgb="FF232629"/>
        <rFont val="Georgia"/>
        <family val="1"/>
        <charset val="186"/>
      </rPr>
      <t>TB, =</t>
    </r>
    <r>
      <rPr>
        <sz val="14"/>
        <color rgb="FF232629"/>
        <rFont val="Georgia"/>
        <family val="1"/>
        <charset val="186"/>
      </rPr>
      <t>1,073,741,824 </t>
    </r>
    <r>
      <rPr>
        <b/>
        <sz val="14"/>
        <color rgb="FF232629"/>
        <rFont val="Georgia"/>
        <family val="1"/>
        <charset val="186"/>
      </rPr>
      <t>GB, =</t>
    </r>
    <r>
      <rPr>
        <sz val="14"/>
        <color rgb="FF232629"/>
        <rFont val="Georgia"/>
        <family val="1"/>
        <charset val="186"/>
      </rPr>
      <t>1,099,511,627,776 </t>
    </r>
    <r>
      <rPr>
        <b/>
        <sz val="14"/>
        <color rgb="FF232629"/>
        <rFont val="Georgia"/>
        <family val="1"/>
        <charset val="186"/>
      </rPr>
      <t>MB</t>
    </r>
    <r>
      <rPr>
        <sz val="14"/>
        <color rgb="FF232629"/>
        <rFont val="Georgia"/>
        <family val="1"/>
        <charset val="186"/>
      </rPr>
      <t>, </t>
    </r>
    <r>
      <rPr>
        <b/>
        <sz val="14"/>
        <color rgb="FF232629"/>
        <rFont val="Georgia"/>
        <family val="1"/>
        <charset val="186"/>
      </rPr>
      <t>=</t>
    </r>
    <r>
      <rPr>
        <sz val="14"/>
        <color rgb="FF232629"/>
        <rFont val="Georgia"/>
        <family val="1"/>
        <charset val="186"/>
      </rPr>
      <t>1,125,899,906,842,624 </t>
    </r>
    <r>
      <rPr>
        <b/>
        <sz val="14"/>
        <color rgb="FF232629"/>
        <rFont val="Georgia"/>
        <family val="1"/>
        <charset val="186"/>
      </rPr>
      <t>KB, =</t>
    </r>
    <r>
      <rPr>
        <sz val="14"/>
        <color rgb="FF232629"/>
        <rFont val="Georgia"/>
        <family val="1"/>
        <charset val="186"/>
      </rPr>
      <t>1,152,921,504,606,846,976 </t>
    </r>
    <r>
      <rPr>
        <b/>
        <sz val="14"/>
        <color rgb="FF232629"/>
        <rFont val="Georgia"/>
        <family val="1"/>
        <charset val="186"/>
      </rPr>
      <t>Bytes and</t>
    </r>
    <r>
      <rPr>
        <sz val="14"/>
        <color rgb="FF232629"/>
        <rFont val="Georgia"/>
        <family val="1"/>
        <charset val="186"/>
      </rPr>
      <t>, 223,372,036,854,775,808 </t>
    </r>
    <r>
      <rPr>
        <b/>
        <sz val="14"/>
        <color rgb="FF232629"/>
        <rFont val="Georgia"/>
        <family val="1"/>
        <charset val="186"/>
      </rPr>
      <t>bits.</t>
    </r>
    <r>
      <rPr>
        <sz val="14"/>
        <color rgb="FF232629"/>
        <rFont val="Georgia"/>
        <family val="1"/>
        <charset val="186"/>
      </rPr>
      <t> </t>
    </r>
  </si>
  <si>
    <t>1 EB</t>
  </si>
  <si>
    <r>
      <t>1 PB Pettabyte = 1024 TB, =</t>
    </r>
    <r>
      <rPr>
        <sz val="14"/>
        <color rgb="FF232629"/>
        <rFont val="Georgia"/>
        <family val="1"/>
        <charset val="186"/>
      </rPr>
      <t> 1,048,576 </t>
    </r>
    <r>
      <rPr>
        <b/>
        <sz val="14"/>
        <color rgb="FF232629"/>
        <rFont val="Georgia"/>
        <family val="1"/>
        <charset val="186"/>
      </rPr>
      <t>GB, =</t>
    </r>
    <r>
      <rPr>
        <sz val="14"/>
        <color rgb="FF232629"/>
        <rFont val="Georgia"/>
        <family val="1"/>
        <charset val="186"/>
      </rPr>
      <t> 1,073,741,824 </t>
    </r>
    <r>
      <rPr>
        <b/>
        <sz val="14"/>
        <color rgb="FF232629"/>
        <rFont val="Georgia"/>
        <family val="1"/>
        <charset val="186"/>
      </rPr>
      <t>MB, =</t>
    </r>
    <r>
      <rPr>
        <sz val="14"/>
        <color rgb="FF232629"/>
        <rFont val="Georgia"/>
        <family val="1"/>
        <charset val="186"/>
      </rPr>
      <t>1,099,511,627,776 </t>
    </r>
    <r>
      <rPr>
        <b/>
        <sz val="14"/>
        <color rgb="FF232629"/>
        <rFont val="Georgia"/>
        <family val="1"/>
        <charset val="186"/>
      </rPr>
      <t>KB,=</t>
    </r>
    <r>
      <rPr>
        <sz val="14"/>
        <color rgb="FF232629"/>
        <rFont val="Georgia"/>
        <family val="1"/>
        <charset val="186"/>
      </rPr>
      <t> 1,125,899,906,842,624 </t>
    </r>
    <r>
      <rPr>
        <b/>
        <sz val="14"/>
        <color rgb="FF232629"/>
        <rFont val="Georgia"/>
        <family val="1"/>
        <charset val="186"/>
      </rPr>
      <t>Bytes and</t>
    </r>
    <r>
      <rPr>
        <sz val="14"/>
        <color rgb="FF232629"/>
        <rFont val="Georgia"/>
        <family val="1"/>
        <charset val="186"/>
      </rPr>
      <t>9,007,199,254,740,992 </t>
    </r>
    <r>
      <rPr>
        <b/>
        <sz val="14"/>
        <color rgb="FF232629"/>
        <rFont val="Georgia"/>
        <family val="1"/>
        <charset val="186"/>
      </rPr>
      <t>bits. </t>
    </r>
  </si>
  <si>
    <t>1 PB</t>
  </si>
  <si>
    <r>
      <t>1 TB Terrabyte </t>
    </r>
    <r>
      <rPr>
        <sz val="14"/>
        <color rgb="FF232629"/>
        <rFont val="Georgia"/>
        <family val="1"/>
        <charset val="186"/>
      </rPr>
      <t>=</t>
    </r>
    <r>
      <rPr>
        <b/>
        <sz val="14"/>
        <color rgb="FF232629"/>
        <rFont val="Georgia"/>
        <family val="1"/>
        <charset val="186"/>
      </rPr>
      <t> 1024</t>
    </r>
    <r>
      <rPr>
        <sz val="14"/>
        <color rgb="FF232629"/>
        <rFont val="Georgia"/>
        <family val="1"/>
        <charset val="186"/>
      </rPr>
      <t> </t>
    </r>
    <r>
      <rPr>
        <b/>
        <sz val="14"/>
        <color rgb="FF232629"/>
        <rFont val="Georgia"/>
        <family val="1"/>
        <charset val="186"/>
      </rPr>
      <t>GB,</t>
    </r>
    <r>
      <rPr>
        <sz val="14"/>
        <color rgb="FF232629"/>
        <rFont val="Georgia"/>
        <family val="1"/>
        <charset val="186"/>
      </rPr>
      <t> = 1,048,576 </t>
    </r>
    <r>
      <rPr>
        <b/>
        <sz val="14"/>
        <color rgb="FF232629"/>
        <rFont val="Georgia"/>
        <family val="1"/>
        <charset val="186"/>
      </rPr>
      <t>MB,=</t>
    </r>
    <r>
      <rPr>
        <sz val="14"/>
        <color rgb="FF232629"/>
        <rFont val="Georgia"/>
        <family val="1"/>
        <charset val="186"/>
      </rPr>
      <t> 8,388,608 </t>
    </r>
    <r>
      <rPr>
        <b/>
        <sz val="14"/>
        <color rgb="FF232629"/>
        <rFont val="Georgia"/>
        <family val="1"/>
        <charset val="186"/>
      </rPr>
      <t>KB,=</t>
    </r>
    <r>
      <rPr>
        <sz val="14"/>
        <color rgb="FF232629"/>
        <rFont val="Georgia"/>
        <family val="1"/>
        <charset val="186"/>
      </rPr>
      <t>1,099,511,627,776 </t>
    </r>
    <r>
      <rPr>
        <b/>
        <sz val="14"/>
        <color rgb="FF232629"/>
        <rFont val="Georgia"/>
        <family val="1"/>
        <charset val="186"/>
      </rPr>
      <t>Bytes and</t>
    </r>
    <r>
      <rPr>
        <sz val="14"/>
        <color rgb="FF232629"/>
        <rFont val="Georgia"/>
        <family val="1"/>
        <charset val="186"/>
      </rPr>
      <t> 8,796,093,022,208 </t>
    </r>
    <r>
      <rPr>
        <b/>
        <sz val="14"/>
        <color rgb="FF232629"/>
        <rFont val="Georgia"/>
        <family val="1"/>
        <charset val="186"/>
      </rPr>
      <t>bits</t>
    </r>
    <r>
      <rPr>
        <sz val="14"/>
        <color rgb="FF232629"/>
        <rFont val="Georgia"/>
        <family val="1"/>
        <charset val="186"/>
      </rPr>
      <t>. </t>
    </r>
  </si>
  <si>
    <t>1 TB</t>
  </si>
  <si>
    <r>
      <t>1 GB Gigabyte</t>
    </r>
    <r>
      <rPr>
        <sz val="14"/>
        <color rgb="FF232629"/>
        <rFont val="Georgia"/>
        <family val="1"/>
        <charset val="186"/>
      </rPr>
      <t> = </t>
    </r>
    <r>
      <rPr>
        <b/>
        <sz val="14"/>
        <color rgb="FF232629"/>
        <rFont val="Georgia"/>
        <family val="1"/>
        <charset val="186"/>
      </rPr>
      <t>1,073,741,824</t>
    </r>
    <r>
      <rPr>
        <sz val="14"/>
        <color rgb="FF232629"/>
        <rFont val="Georgia"/>
        <family val="1"/>
        <charset val="186"/>
      </rPr>
      <t> </t>
    </r>
    <r>
      <rPr>
        <b/>
        <sz val="14"/>
        <color rgb="FF232629"/>
        <rFont val="Georgia"/>
        <family val="1"/>
        <charset val="186"/>
      </rPr>
      <t>Bytes</t>
    </r>
    <r>
      <rPr>
        <sz val="14"/>
        <color rgb="FF232629"/>
        <rFont val="Georgia"/>
        <family val="1"/>
        <charset val="186"/>
      </rPr>
      <t> | </t>
    </r>
    <r>
      <rPr>
        <b/>
        <sz val="14"/>
        <color rgb="FF232629"/>
        <rFont val="Georgia"/>
        <family val="1"/>
        <charset val="186"/>
      </rPr>
      <t>One billion Bytes</t>
    </r>
    <r>
      <rPr>
        <sz val="14"/>
        <color rgb="FF232629"/>
        <rFont val="Georgia"/>
        <family val="1"/>
        <charset val="186"/>
      </rPr>
      <t> </t>
    </r>
  </si>
  <si>
    <t>1 GB</t>
  </si>
  <si>
    <r>
      <t>1 MB Megabyte </t>
    </r>
    <r>
      <rPr>
        <sz val="14"/>
        <color rgb="FF232629"/>
        <rFont val="Georgia"/>
        <family val="1"/>
        <charset val="186"/>
      </rPr>
      <t>= </t>
    </r>
    <r>
      <rPr>
        <b/>
        <sz val="14"/>
        <color rgb="FF232629"/>
        <rFont val="Georgia"/>
        <family val="1"/>
        <charset val="186"/>
      </rPr>
      <t>1,048,576</t>
    </r>
    <r>
      <rPr>
        <sz val="14"/>
        <color rgb="FF232629"/>
        <rFont val="Georgia"/>
        <family val="1"/>
        <charset val="186"/>
      </rPr>
      <t> </t>
    </r>
    <r>
      <rPr>
        <b/>
        <sz val="14"/>
        <color rgb="FF232629"/>
        <rFont val="Georgia"/>
        <family val="1"/>
        <charset val="186"/>
      </rPr>
      <t>Bytes</t>
    </r>
    <r>
      <rPr>
        <sz val="14"/>
        <color rgb="FF232629"/>
        <rFont val="Georgia"/>
        <family val="1"/>
        <charset val="186"/>
      </rPr>
      <t> </t>
    </r>
  </si>
  <si>
    <t>1 MB</t>
  </si>
  <si>
    <r>
      <t>1 KB Kilobyte </t>
    </r>
    <r>
      <rPr>
        <sz val="14"/>
        <color rgb="FF232629"/>
        <rFont val="Georgia"/>
        <family val="1"/>
        <charset val="186"/>
      </rPr>
      <t>=</t>
    </r>
    <r>
      <rPr>
        <b/>
        <sz val="14"/>
        <color rgb="FF232629"/>
        <rFont val="Georgia"/>
        <family val="1"/>
        <charset val="186"/>
      </rPr>
      <t> 1,024 Bytes </t>
    </r>
  </si>
  <si>
    <t>1 KB</t>
  </si>
  <si>
    <t>Stulpelis3</t>
  </si>
  <si>
    <t>1</t>
  </si>
  <si>
    <t>?</t>
  </si>
  <si>
    <t>??</t>
  </si>
  <si>
    <t>Range("A1")</t>
  </si>
  <si>
    <t>G:\baldai</t>
  </si>
  <si>
    <t>Failas</t>
  </si>
  <si>
    <t>Dydis GB</t>
  </si>
  <si>
    <t>Dydis (baitais)</t>
  </si>
  <si>
    <t>ATSARGIAI</t>
  </si>
  <si>
    <t>Kai baksteli B1 langelį</t>
  </si>
  <si>
    <t>trina A1 langelį ir įrašo naują reikšmę</t>
  </si>
  <si>
    <t>interaktyvi BVA procedūra</t>
  </si>
  <si>
    <t>Target.Address = "$B$1" And</t>
  </si>
  <si>
    <t>tada veikia kad ir kur be bakstelėtum</t>
  </si>
  <si>
    <t>galima padaryti ir dar interaktyvesnę jai ištrinsim iš kodo:</t>
  </si>
  <si>
    <t>Žymėjimas - x</t>
  </si>
  <si>
    <t>x</t>
  </si>
  <si>
    <t>kai įrašyta x makrokomanda aktyvuota</t>
  </si>
  <si>
    <t>kai langelis tuščias marokomanda nieko nedaro</t>
  </si>
  <si>
    <t>E:\E-knygos (mp3 ir pdf)\ePUB ir kiti knygų formatai</t>
  </si>
  <si>
    <t>E:\E-knygos (mp3 ir pdf)\ePUB ir kiti knygų formatai\Arthur.Conan.Doyle.-.Rinktiniai.rastai.10.tomu.1993.LT.PDF.EPUB</t>
  </si>
  <si>
    <t>E:\E-knygos (mp3 ir pdf)\ePUB ir kiti knygų formatai\Fantastikos.Pack.LT.PDF</t>
  </si>
  <si>
    <t>E:\E-knygos (mp3 ir pdf)\ePUB ir kiti knygų formatai\Ivairios.knygos.lietuviskai.LT.EPUB.pack</t>
  </si>
  <si>
    <t>E:\E-knygos (mp3 ir pdf)\ePUB ir kiti knygų formatai\Knygos.lietuviu.kalba.EPUB.pack</t>
  </si>
  <si>
    <t>Sun.Tzu.-.Karo.menas.2006.LT.epub</t>
  </si>
  <si>
    <t>E:\E-knygos (mp3 ir pdf)\ePUB ir kiti knygų formatai\Knygų, lietuvių kalba, rinkinys [ePub]-LM</t>
  </si>
  <si>
    <t>Eilučių žymos</t>
  </si>
  <si>
    <t>Bendroji suma</t>
  </si>
  <si>
    <t>Skaičiuoti iš Failas</t>
  </si>
  <si>
    <t>Balys.Sruoga.-.Dievu.miskas.1989.LT.epub</t>
  </si>
  <si>
    <t>Thumbs.db</t>
  </si>
  <si>
    <t>Katalogas bendras</t>
  </si>
  <si>
    <t>Path1</t>
  </si>
  <si>
    <t>Path2</t>
  </si>
  <si>
    <t>Path3</t>
  </si>
  <si>
    <t>Path0</t>
  </si>
  <si>
    <t>Path4</t>
  </si>
  <si>
    <t>Path5</t>
  </si>
  <si>
    <t>Kat1</t>
  </si>
  <si>
    <t>Kat2</t>
  </si>
  <si>
    <t>Kat3</t>
  </si>
  <si>
    <t>Kat4</t>
  </si>
  <si>
    <t>E:\2 FOTO</t>
  </si>
  <si>
    <t>1995 10 07 Draugas straipsnis apie Burkšaitį [jame minimas ir Aš].jpg</t>
  </si>
  <si>
    <t>E:\2 FOTO\1974 Mariaus vaikystė</t>
  </si>
  <si>
    <t>Beverly Hills guma 001.jpg</t>
  </si>
  <si>
    <t>Beverly Hills guma.jpg</t>
  </si>
  <si>
    <t>Genadijus su Cimbaliene.jpg</t>
  </si>
  <si>
    <t>E:\2 FOTO\1974 Mariaus vaikystė\1948-1975 Genos</t>
  </si>
  <si>
    <t>Genadijus.jpg</t>
  </si>
  <si>
    <t>Stalinas.jpg</t>
  </si>
  <si>
    <t>1968 02 13 Genadijus armijoje [antra puse].jpg</t>
  </si>
  <si>
    <t>E:\2 FOTO\1974 Mariaus vaikystė\1948-1975 Genos\Armija</t>
  </si>
  <si>
    <t>1974 Mariaus vaikystė</t>
  </si>
  <si>
    <t>Paleidimas</t>
  </si>
  <si>
    <t>a</t>
  </si>
  <si>
    <t>s</t>
  </si>
  <si>
    <t>d</t>
  </si>
  <si>
    <t>g</t>
  </si>
  <si>
    <t>h</t>
  </si>
  <si>
    <t>j</t>
  </si>
  <si>
    <t>www</t>
  </si>
  <si>
    <t xml:space="preserve"> </t>
  </si>
  <si>
    <t>Data</t>
  </si>
  <si>
    <t>Paleidimai</t>
  </si>
  <si>
    <t>wwwwwwwwwwwwwwwwwwwwwww</t>
  </si>
  <si>
    <t>qqqqqqqqqqwwwwwwwweeeeee</t>
  </si>
  <si>
    <t>IIIIIIIIIIIIIIIIIIIIIIIIIIIIIIIII</t>
  </si>
  <si>
    <t>LAIKAS</t>
  </si>
  <si>
    <t>popopo</t>
  </si>
  <si>
    <t xml:space="preserve">aktyvi celė kopijuojama į kitą lapą "HID", kuris gali būti nematomas arba labai nematomas </t>
  </si>
  <si>
    <t>čia viskas automatiškai kopijuojama iš GamPlanKontrol lapo</t>
  </si>
  <si>
    <t>Mama</t>
  </si>
  <si>
    <t>Tėtė</t>
  </si>
  <si>
    <t>tikslas išmokti valdyti formas</t>
  </si>
  <si>
    <t>paspausk čia</t>
  </si>
  <si>
    <t>gghhhh</t>
  </si>
  <si>
    <t>r</t>
  </si>
  <si>
    <t>gtr</t>
  </si>
  <si>
    <t>kmgb</t>
  </si>
  <si>
    <t>Ištrinta 2017-11-12 11:23:32</t>
  </si>
  <si>
    <t>Sub Makrokomanda1()</t>
  </si>
  <si>
    <t xml:space="preserve">    Dim x, y As Integer</t>
  </si>
  <si>
    <t xml:space="preserve">    </t>
  </si>
  <si>
    <t>On Error GoTo handleCancel</t>
  </si>
  <si>
    <t>Application.EnableCancelKey = xlErrorHandler</t>
  </si>
  <si>
    <t>MsgBox "This may take a long time: press ESC to cancel"</t>
  </si>
  <si>
    <t xml:space="preserve">            For y = 1 To 1000</t>
  </si>
  <si>
    <t>'            If y = 5 Then Exit For</t>
  </si>
  <si>
    <t xml:space="preserve">            Next y</t>
  </si>
  <si>
    <t xml:space="preserve">        Next x</t>
  </si>
  <si>
    <t>handleCancel:</t>
  </si>
  <si>
    <t>If Err = 18 Then</t>
  </si>
  <si>
    <t xml:space="preserve"> MsgBox "You cancelled"</t>
  </si>
  <si>
    <t>End Sub</t>
  </si>
  <si>
    <t xml:space="preserve">            Cells(x, y).Value = 1</t>
  </si>
  <si>
    <t>būtina eilutė norint išeiti iš per ilgo ciklo paspaudus Esc</t>
  </si>
  <si>
    <t>programinis išėjimas iš per ilgo ciklo</t>
  </si>
  <si>
    <t>išeiti ciklo nebaigus</t>
  </si>
  <si>
    <t>Exit While</t>
  </si>
  <si>
    <t xml:space="preserve">        For x = 1 To 100     ' bet koks ilgas ciklas</t>
  </si>
  <si>
    <t>round( a,b)</t>
  </si>
  <si>
    <t>funkcija apvalina bankinio apvalinimo metodu, t.y. apvalinama iki artimiausio lyginio skaičiaus, 3 pvz:      A=100,005  b=2 -&gt; "100,00";      A=100,015  b=2 -&gt; "100,02";      A=100,025  b=2 -&gt; "100,02"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</si>
</sst>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yyyy/mm/dd\ hh:mm\ ss"/>
  </numFmts>
  <fonts count="31">
    <font>
      <sz val="11"/>
      <color theme="1"/>
      <name val="Calibri"/>
      <family val="2"/>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sz val="11"/>
      <color theme="1"/>
      <name val="Calibri"/>
      <family val="2"/>
      <charset val="186"/>
      <scheme val="minor"/>
    </font>
    <font>
      <b/>
      <sz val="11"/>
      <color theme="1"/>
      <name val="Calibri"/>
      <family val="2"/>
      <charset val="186"/>
      <scheme val="minor"/>
    </font>
    <font>
      <sz val="18.350000000000001"/>
      <color rgb="FF000000"/>
      <name val="Arial"/>
      <family val="2"/>
      <charset val="186"/>
    </font>
    <font>
      <sz val="11"/>
      <color rgb="FFFF0000"/>
      <name val="Calibri"/>
      <family val="2"/>
      <scheme val="minor"/>
    </font>
    <font>
      <sz val="11"/>
      <color theme="3" tint="0.39997558519241921"/>
      <name val="Calibri"/>
      <family val="2"/>
      <scheme val="minor"/>
    </font>
    <font>
      <b/>
      <i/>
      <sz val="11"/>
      <color rgb="FF000000"/>
      <name val="TimesNewRomanPS-BoldItalicMT"/>
    </font>
    <font>
      <sz val="11"/>
      <color rgb="FF000000"/>
      <name val="TimesNewRomanPSMT"/>
    </font>
    <font>
      <i/>
      <sz val="11"/>
      <color rgb="FF000000"/>
      <name val="TimesNewRomanPS-ItalicMT"/>
    </font>
    <font>
      <b/>
      <i/>
      <sz val="11"/>
      <color rgb="FFC00000"/>
      <name val="TimesNewRomanPS-BoldItalicMT"/>
    </font>
    <font>
      <b/>
      <sz val="12"/>
      <color rgb="FFFF0000"/>
      <name val="Calibri"/>
      <family val="2"/>
      <charset val="186"/>
      <scheme val="minor"/>
    </font>
    <font>
      <sz val="11"/>
      <name val="Calibri"/>
      <family val="2"/>
      <scheme val="minor"/>
    </font>
    <font>
      <sz val="11"/>
      <color theme="1"/>
      <name val="Calibri"/>
      <family val="2"/>
      <charset val="186"/>
    </font>
    <font>
      <u/>
      <sz val="11"/>
      <color theme="10"/>
      <name val="Calibri"/>
      <family val="2"/>
      <scheme val="minor"/>
    </font>
    <font>
      <b/>
      <sz val="14"/>
      <color rgb="FF232629"/>
      <name val="Georgia"/>
      <family val="1"/>
      <charset val="186"/>
    </font>
    <font>
      <sz val="14"/>
      <color rgb="FF232629"/>
      <name val="Georgia"/>
      <family val="1"/>
      <charset val="186"/>
    </font>
    <font>
      <sz val="36"/>
      <color theme="1"/>
      <name val="Calibri"/>
      <family val="2"/>
      <charset val="186"/>
      <scheme val="minor"/>
    </font>
    <font>
      <sz val="11"/>
      <color rgb="FF000000"/>
      <name val="Calibri"/>
      <family val="2"/>
      <charset val="186"/>
    </font>
    <font>
      <b/>
      <sz val="11"/>
      <color theme="1"/>
      <name val="Calibri"/>
      <family val="2"/>
      <scheme val="minor"/>
    </font>
    <font>
      <sz val="11"/>
      <color rgb="FF0000FF"/>
      <name val="Calibri"/>
      <family val="2"/>
      <scheme val="minor"/>
    </font>
    <font>
      <sz val="11"/>
      <color rgb="FF00B050"/>
      <name val="Calibri"/>
      <family val="2"/>
      <scheme val="minor"/>
    </font>
    <font>
      <sz val="8"/>
      <color rgb="FF000000"/>
      <name val="Segoe UI"/>
      <family val="2"/>
      <charset val="186"/>
    </font>
    <font>
      <sz val="11"/>
      <color rgb="FF080808"/>
      <name val="Calibri"/>
      <family val="2"/>
      <scheme val="minor"/>
    </font>
    <font>
      <sz val="11"/>
      <color theme="5" tint="0.39997558519241921"/>
      <name val="Calibri"/>
      <family val="2"/>
      <charset val="186"/>
      <scheme val="minor"/>
    </font>
    <font>
      <b/>
      <sz val="12"/>
      <color theme="1"/>
      <name val="Calibri"/>
      <family val="2"/>
      <charset val="186"/>
      <scheme val="minor"/>
    </font>
    <font>
      <sz val="18"/>
      <color theme="1"/>
      <name val="Calibri"/>
      <family val="2"/>
      <charset val="186"/>
      <scheme val="minor"/>
    </font>
    <font>
      <b/>
      <sz val="9"/>
      <color indexed="81"/>
      <name val="Tahoma"/>
      <family val="2"/>
      <charset val="186"/>
    </font>
  </fonts>
  <fills count="9">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theme="1"/>
      </right>
      <top style="thin">
        <color theme="1"/>
      </top>
      <bottom/>
      <diagonal/>
    </border>
    <border>
      <left style="thin">
        <color theme="7"/>
      </left>
      <right/>
      <top style="thin">
        <color theme="7"/>
      </top>
      <bottom/>
      <diagonal/>
    </border>
    <border>
      <left style="thin">
        <color theme="7"/>
      </left>
      <right/>
      <top style="double">
        <color theme="7"/>
      </top>
      <bottom style="thin">
        <color theme="7"/>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5">
    <xf numFmtId="0" fontId="0" fillId="0" borderId="0"/>
    <xf numFmtId="0" fontId="5" fillId="0" borderId="0"/>
    <xf numFmtId="0" fontId="17" fillId="0" borderId="0" applyNumberFormat="0" applyFill="0" applyBorder="0" applyAlignment="0" applyProtection="0"/>
    <xf numFmtId="0" fontId="3" fillId="0" borderId="0"/>
    <xf numFmtId="0" fontId="1" fillId="0" borderId="0"/>
  </cellStyleXfs>
  <cellXfs count="114">
    <xf numFmtId="0" fontId="0" fillId="0" borderId="0" xfId="0"/>
    <xf numFmtId="0" fontId="6" fillId="2" borderId="0" xfId="0" applyFont="1" applyFill="1"/>
    <xf numFmtId="0" fontId="0" fillId="2" borderId="0" xfId="0" applyFill="1"/>
    <xf numFmtId="0" fontId="0" fillId="0" borderId="2" xfId="0" applyBorder="1"/>
    <xf numFmtId="0" fontId="8" fillId="0" borderId="0" xfId="0" applyFont="1" applyBorder="1"/>
    <xf numFmtId="0" fontId="0" fillId="0" borderId="0" xfId="0" applyBorder="1"/>
    <xf numFmtId="0" fontId="0" fillId="0" borderId="5" xfId="0" applyBorder="1"/>
    <xf numFmtId="0" fontId="0" fillId="0" borderId="0" xfId="0" applyFill="1" applyBorder="1"/>
    <xf numFmtId="0" fontId="10" fillId="0" borderId="0" xfId="0" applyFont="1"/>
    <xf numFmtId="0" fontId="11" fillId="0" borderId="0" xfId="0" applyFont="1"/>
    <xf numFmtId="0" fontId="10" fillId="3" borderId="0" xfId="0" applyFont="1" applyFill="1"/>
    <xf numFmtId="0" fontId="0" fillId="3" borderId="0" xfId="0" applyFill="1"/>
    <xf numFmtId="0" fontId="11" fillId="3" borderId="0" xfId="0" applyFont="1" applyFill="1"/>
    <xf numFmtId="0" fontId="13" fillId="3" borderId="0" xfId="0" applyFont="1" applyFill="1"/>
    <xf numFmtId="11" fontId="0" fillId="3" borderId="0" xfId="0" applyNumberFormat="1" applyFill="1"/>
    <xf numFmtId="0" fontId="8" fillId="0" borderId="0" xfId="0" applyFont="1" applyFill="1" applyBorder="1"/>
    <xf numFmtId="0" fontId="10" fillId="0" borderId="0" xfId="0" applyFont="1" applyFill="1"/>
    <xf numFmtId="0" fontId="0" fillId="0" borderId="0" xfId="0" applyFill="1"/>
    <xf numFmtId="0" fontId="13" fillId="0" borderId="0" xfId="0" applyFont="1" applyFill="1"/>
    <xf numFmtId="0" fontId="11" fillId="0" borderId="0" xfId="0" applyFont="1" applyFill="1"/>
    <xf numFmtId="0" fontId="8" fillId="0" borderId="1" xfId="0" applyFont="1" applyFill="1" applyBorder="1"/>
    <xf numFmtId="0" fontId="8" fillId="0" borderId="3" xfId="0" applyFont="1" applyFill="1" applyBorder="1"/>
    <xf numFmtId="0" fontId="0" fillId="0" borderId="4" xfId="0" applyFill="1" applyBorder="1"/>
    <xf numFmtId="0" fontId="8" fillId="0" borderId="4" xfId="0" applyFont="1" applyFill="1" applyBorder="1"/>
    <xf numFmtId="0" fontId="9" fillId="0" borderId="3" xfId="0" applyFont="1" applyFill="1" applyBorder="1"/>
    <xf numFmtId="0" fontId="8" fillId="0" borderId="0" xfId="0" applyFont="1"/>
    <xf numFmtId="0" fontId="0" fillId="3" borderId="0" xfId="0" applyFill="1" applyBorder="1"/>
    <xf numFmtId="0" fontId="14" fillId="0" borderId="0" xfId="0" applyFont="1" applyFill="1"/>
    <xf numFmtId="0" fontId="14" fillId="0" borderId="0" xfId="0" applyFont="1" applyFill="1" applyBorder="1"/>
    <xf numFmtId="0" fontId="0" fillId="2" borderId="0" xfId="0" applyFill="1" applyBorder="1"/>
    <xf numFmtId="0" fontId="8" fillId="3" borderId="0" xfId="0" applyFont="1" applyFill="1" applyBorder="1"/>
    <xf numFmtId="0" fontId="0" fillId="4" borderId="0" xfId="0" applyFill="1" applyBorder="1"/>
    <xf numFmtId="0" fontId="8" fillId="2" borderId="0" xfId="0" applyFont="1" applyFill="1" applyBorder="1"/>
    <xf numFmtId="0" fontId="8" fillId="3" borderId="3" xfId="0" applyFont="1" applyFill="1" applyBorder="1"/>
    <xf numFmtId="0" fontId="0" fillId="0" borderId="7" xfId="0" applyBorder="1"/>
    <xf numFmtId="0" fontId="8" fillId="3" borderId="4" xfId="0" applyFont="1" applyFill="1" applyBorder="1"/>
    <xf numFmtId="0" fontId="0" fillId="0" borderId="8" xfId="0" applyBorder="1"/>
    <xf numFmtId="0" fontId="8" fillId="3" borderId="1" xfId="0" applyFont="1" applyFill="1" applyBorder="1"/>
    <xf numFmtId="0" fontId="0" fillId="0" borderId="6" xfId="0" applyFill="1" applyBorder="1"/>
    <xf numFmtId="0" fontId="9" fillId="3" borderId="3" xfId="0" applyFont="1" applyFill="1" applyBorder="1" applyAlignment="1">
      <alignment horizontal="right"/>
    </xf>
    <xf numFmtId="0" fontId="9" fillId="0" borderId="7" xfId="0" applyFont="1" applyFill="1" applyBorder="1" applyAlignment="1">
      <alignment horizontal="left"/>
    </xf>
    <xf numFmtId="0" fontId="0" fillId="0" borderId="7" xfId="0" applyFill="1" applyBorder="1"/>
    <xf numFmtId="0" fontId="0" fillId="0" borderId="8" xfId="0" applyFill="1" applyBorder="1"/>
    <xf numFmtId="0" fontId="0" fillId="0" borderId="0" xfId="0"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8" fillId="0" borderId="3" xfId="0" applyFont="1" applyFill="1" applyBorder="1" applyAlignment="1">
      <alignment horizontal="right"/>
    </xf>
    <xf numFmtId="0" fontId="8" fillId="0" borderId="3" xfId="0" applyFont="1" applyFill="1" applyBorder="1" applyAlignment="1">
      <alignment horizontal="left"/>
    </xf>
    <xf numFmtId="0" fontId="0" fillId="0" borderId="3" xfId="0" applyFill="1" applyBorder="1"/>
    <xf numFmtId="0" fontId="0" fillId="0" borderId="2" xfId="0" applyFill="1" applyBorder="1"/>
    <xf numFmtId="0" fontId="8" fillId="0" borderId="4" xfId="0" applyFont="1" applyFill="1" applyBorder="1" applyAlignment="1">
      <alignment horizontal="left"/>
    </xf>
    <xf numFmtId="0" fontId="8" fillId="0" borderId="0" xfId="0" applyFont="1" applyFill="1" applyBorder="1" applyAlignment="1">
      <alignment horizontal="left"/>
    </xf>
    <xf numFmtId="0" fontId="15" fillId="0" borderId="0" xfId="0" applyFont="1"/>
    <xf numFmtId="0" fontId="5" fillId="0" borderId="0" xfId="1"/>
    <xf numFmtId="0" fontId="5" fillId="0" borderId="0" xfId="1" applyAlignment="1">
      <alignment horizontal="left"/>
    </xf>
    <xf numFmtId="0" fontId="5" fillId="0" borderId="0" xfId="1" applyAlignment="1">
      <alignment horizontal="right"/>
    </xf>
    <xf numFmtId="0" fontId="8" fillId="3" borderId="0" xfId="0" applyFont="1" applyFill="1" applyBorder="1" applyAlignment="1"/>
    <xf numFmtId="0" fontId="4" fillId="2" borderId="0" xfId="1" applyFont="1" applyFill="1"/>
    <xf numFmtId="0" fontId="5" fillId="2" borderId="0" xfId="1" applyFill="1"/>
    <xf numFmtId="0" fontId="4" fillId="2" borderId="0" xfId="1" applyFont="1" applyFill="1" applyAlignment="1">
      <alignment horizontal="left"/>
    </xf>
    <xf numFmtId="0" fontId="4" fillId="0" borderId="0" xfId="1" applyFont="1" applyAlignment="1">
      <alignment horizontal="left"/>
    </xf>
    <xf numFmtId="0" fontId="15" fillId="3" borderId="1" xfId="0" applyFont="1" applyFill="1" applyBorder="1" applyAlignment="1"/>
    <xf numFmtId="0" fontId="0" fillId="0" borderId="0" xfId="0" applyAlignment="1">
      <alignment horizontal="left"/>
    </xf>
    <xf numFmtId="0" fontId="0" fillId="0" borderId="9" xfId="0" applyBorder="1" applyAlignment="1">
      <alignment horizontal="left"/>
    </xf>
    <xf numFmtId="0" fontId="16" fillId="0" borderId="0" xfId="0" applyFont="1"/>
    <xf numFmtId="0" fontId="17" fillId="0" borderId="9" xfId="2" applyBorder="1" applyAlignment="1">
      <alignment horizontal="left"/>
    </xf>
    <xf numFmtId="0" fontId="0" fillId="0" borderId="9" xfId="0" applyFont="1" applyBorder="1"/>
    <xf numFmtId="0" fontId="8" fillId="3" borderId="10" xfId="0" applyFont="1" applyFill="1" applyBorder="1" applyAlignment="1">
      <alignment horizontal="left"/>
    </xf>
    <xf numFmtId="0" fontId="8" fillId="3" borderId="0" xfId="0" applyFont="1" applyFill="1" applyAlignment="1">
      <alignment horizontal="left"/>
    </xf>
    <xf numFmtId="0" fontId="8" fillId="0" borderId="0" xfId="0" applyFont="1" applyFill="1"/>
    <xf numFmtId="0" fontId="17" fillId="0" borderId="0" xfId="2" applyFill="1"/>
    <xf numFmtId="0" fontId="8" fillId="0" borderId="9" xfId="0" applyFont="1" applyBorder="1"/>
    <xf numFmtId="3" fontId="0" fillId="0" borderId="0" xfId="0" applyNumberFormat="1"/>
    <xf numFmtId="164" fontId="0" fillId="0" borderId="0" xfId="0" applyNumberFormat="1"/>
    <xf numFmtId="0" fontId="3" fillId="0" borderId="0" xfId="3"/>
    <xf numFmtId="3" fontId="3" fillId="0" borderId="0" xfId="3" applyNumberFormat="1"/>
    <xf numFmtId="0" fontId="3" fillId="0" borderId="0" xfId="3" applyNumberFormat="1"/>
    <xf numFmtId="0" fontId="18" fillId="0" borderId="0" xfId="3" applyFont="1"/>
    <xf numFmtId="1" fontId="20" fillId="0" borderId="0" xfId="3" applyNumberFormat="1" applyFont="1" applyAlignment="1">
      <alignment horizontal="center"/>
    </xf>
    <xf numFmtId="164" fontId="0" fillId="0" borderId="11" xfId="0" applyNumberFormat="1" applyFont="1" applyBorder="1"/>
    <xf numFmtId="0" fontId="0" fillId="0" borderId="9" xfId="0" applyBorder="1"/>
    <xf numFmtId="0" fontId="0" fillId="0" borderId="9" xfId="0" applyFill="1" applyBorder="1" applyAlignment="1">
      <alignment horizontal="center"/>
    </xf>
    <xf numFmtId="0" fontId="0" fillId="0" borderId="0" xfId="0" pivotButton="1"/>
    <xf numFmtId="0" fontId="0" fillId="0" borderId="0" xfId="0" applyNumberFormat="1"/>
    <xf numFmtId="0" fontId="8" fillId="2" borderId="0" xfId="0" applyFont="1" applyFill="1"/>
    <xf numFmtId="0" fontId="23" fillId="2" borderId="0" xfId="0" applyFont="1" applyFill="1"/>
    <xf numFmtId="0" fontId="23" fillId="0" borderId="0" xfId="0" applyFont="1"/>
    <xf numFmtId="0" fontId="24" fillId="0" borderId="0" xfId="0" applyFont="1"/>
    <xf numFmtId="0" fontId="24" fillId="2" borderId="0" xfId="0" applyFont="1" applyFill="1"/>
    <xf numFmtId="0" fontId="22" fillId="0" borderId="12" xfId="0" applyFont="1" applyBorder="1"/>
    <xf numFmtId="22" fontId="0" fillId="0" borderId="0" xfId="0" applyNumberFormat="1"/>
    <xf numFmtId="165" fontId="0" fillId="0" borderId="0" xfId="0" applyNumberFormat="1" applyAlignment="1">
      <alignment horizontal="left"/>
    </xf>
    <xf numFmtId="165" fontId="0" fillId="2" borderId="0" xfId="0" applyNumberFormat="1" applyFill="1" applyAlignment="1">
      <alignment horizontal="left"/>
    </xf>
    <xf numFmtId="0" fontId="0" fillId="0" borderId="0" xfId="0" applyAlignment="1">
      <alignment horizontal="right"/>
    </xf>
    <xf numFmtId="0" fontId="0" fillId="5" borderId="0" xfId="0" applyFill="1"/>
    <xf numFmtId="0" fontId="0" fillId="7" borderId="0" xfId="0" applyFill="1"/>
    <xf numFmtId="0" fontId="0" fillId="8" borderId="0" xfId="0" applyFill="1"/>
    <xf numFmtId="0" fontId="6" fillId="0" borderId="0" xfId="0" applyFont="1"/>
    <xf numFmtId="0" fontId="2" fillId="6" borderId="0" xfId="0" applyFont="1" applyFill="1"/>
    <xf numFmtId="0" fontId="26" fillId="0" borderId="0" xfId="0" applyFont="1"/>
    <xf numFmtId="0" fontId="27" fillId="7" borderId="0" xfId="0" applyFont="1" applyFill="1"/>
    <xf numFmtId="0" fontId="28" fillId="0" borderId="0" xfId="0" applyFont="1"/>
    <xf numFmtId="14" fontId="0" fillId="0" borderId="0" xfId="0" applyNumberFormat="1" applyAlignment="1">
      <alignment horizontal="left" vertical="center"/>
    </xf>
    <xf numFmtId="0" fontId="1" fillId="0" borderId="0" xfId="4"/>
    <xf numFmtId="0" fontId="1" fillId="0" borderId="0" xfId="4" applyAlignment="1">
      <alignment horizontal="center" vertical="center"/>
    </xf>
    <xf numFmtId="0" fontId="1" fillId="0" borderId="13" xfId="4" applyBorder="1"/>
    <xf numFmtId="0" fontId="1" fillId="0" borderId="14" xfId="4" applyBorder="1"/>
    <xf numFmtId="1" fontId="1" fillId="0" borderId="0" xfId="4" applyNumberFormat="1" applyAlignment="1">
      <alignment horizontal="center" vertical="center"/>
    </xf>
    <xf numFmtId="0" fontId="1" fillId="0" borderId="15" xfId="4" applyBorder="1"/>
    <xf numFmtId="0" fontId="1" fillId="2" borderId="0" xfId="4" applyFill="1"/>
    <xf numFmtId="0" fontId="15" fillId="2" borderId="1" xfId="0" applyFont="1" applyFill="1" applyBorder="1" applyAlignment="1">
      <alignment horizontal="center"/>
    </xf>
    <xf numFmtId="0" fontId="15" fillId="2" borderId="2" xfId="0" applyFont="1" applyFill="1" applyBorder="1" applyAlignment="1">
      <alignment horizontal="center"/>
    </xf>
    <xf numFmtId="0" fontId="7" fillId="3" borderId="0" xfId="0" applyFont="1" applyFill="1" applyAlignment="1">
      <alignment horizontal="center" vertical="center"/>
    </xf>
    <xf numFmtId="0" fontId="29" fillId="3" borderId="0" xfId="4" applyFont="1" applyFill="1" applyAlignment="1">
      <alignment horizontal="center" vertical="center"/>
    </xf>
  </cellXfs>
  <cellStyles count="5">
    <cellStyle name="Hyperlink" xfId="2" builtinId="8"/>
    <cellStyle name="Įprastas 2" xfId="3"/>
    <cellStyle name="Įprastas 3" xfId="4"/>
    <cellStyle name="Normal" xfId="0" builtinId="0"/>
    <cellStyle name="Normal 2" xfId="1"/>
  </cellStyles>
  <dxfs count="31">
    <dxf>
      <numFmt numFmtId="0" formatCode="General"/>
    </dxf>
    <dxf>
      <numFmt numFmtId="3" formatCode="#,##0"/>
    </dxf>
    <dxf>
      <numFmt numFmtId="0" formatCode="General"/>
    </dxf>
    <dxf>
      <numFmt numFmtId="3" formatCode="#,##0"/>
    </dxf>
    <dxf>
      <fill>
        <patternFill>
          <bgColor rgb="FFFFFF00"/>
        </patternFill>
      </fill>
    </dxf>
    <dxf>
      <fill>
        <patternFill>
          <bgColor rgb="FF00FF00"/>
        </patternFill>
      </fill>
    </dxf>
    <dxf>
      <fill>
        <patternFill patternType="solid">
          <fgColor indexed="64"/>
          <bgColor indexed="22"/>
        </patternFill>
      </fill>
    </dxf>
    <dxf>
      <numFmt numFmtId="0" formatCode="General"/>
      <fill>
        <patternFill patternType="solid">
          <fgColor indexed="64"/>
          <bgColor indexed="22"/>
        </patternFill>
      </fill>
    </dxf>
    <dxf>
      <fill>
        <patternFill patternType="solid">
          <fgColor indexed="64"/>
          <bgColor indexed="22"/>
        </patternFill>
      </fill>
    </dxf>
    <dxf>
      <numFmt numFmtId="0" formatCode="General"/>
      <fill>
        <patternFill patternType="solid">
          <fgColor indexed="64"/>
          <bgColor indexed="22"/>
        </patternFill>
      </fill>
    </dxf>
    <dxf>
      <font>
        <b val="0"/>
        <i val="0"/>
        <strike val="0"/>
        <condense val="0"/>
        <extend val="0"/>
        <outline val="0"/>
        <shadow val="0"/>
        <u val="none"/>
        <vertAlign val="baseline"/>
        <sz val="11"/>
        <color rgb="FF00B050"/>
        <name val="Calibri"/>
        <scheme val="minor"/>
      </font>
      <fill>
        <patternFill patternType="solid">
          <fgColor indexed="64"/>
          <bgColor indexed="22"/>
        </patternFill>
      </fill>
    </dxf>
    <dxf>
      <font>
        <strike val="0"/>
        <outline val="0"/>
        <shadow val="0"/>
        <u val="none"/>
        <vertAlign val="baseline"/>
        <sz val="11"/>
        <color rgb="FF00B050"/>
        <name val="Calibri"/>
        <scheme val="minor"/>
      </font>
      <numFmt numFmtId="0" formatCode="General"/>
      <fill>
        <patternFill patternType="solid">
          <fgColor indexed="64"/>
          <bgColor indexed="22"/>
        </patternFill>
      </fill>
    </dxf>
    <dxf>
      <font>
        <b val="0"/>
        <i val="0"/>
        <strike val="0"/>
        <condense val="0"/>
        <extend val="0"/>
        <outline val="0"/>
        <shadow val="0"/>
        <u val="none"/>
        <vertAlign val="baseline"/>
        <sz val="11"/>
        <color rgb="FF0000FF"/>
        <name val="Calibri"/>
        <scheme val="minor"/>
      </font>
      <fill>
        <patternFill patternType="solid">
          <fgColor indexed="64"/>
          <bgColor indexed="22"/>
        </patternFill>
      </fill>
    </dxf>
    <dxf>
      <font>
        <strike val="0"/>
        <outline val="0"/>
        <shadow val="0"/>
        <u val="none"/>
        <vertAlign val="baseline"/>
        <sz val="11"/>
        <color rgb="FF0000FF"/>
        <name val="Calibri"/>
        <scheme val="minor"/>
      </font>
      <numFmt numFmtId="0" formatCode="General"/>
      <fill>
        <patternFill patternType="solid">
          <fgColor indexed="64"/>
          <bgColor indexed="22"/>
        </patternFill>
      </fill>
    </dxf>
    <dxf>
      <font>
        <b val="0"/>
        <i val="0"/>
        <strike val="0"/>
        <condense val="0"/>
        <extend val="0"/>
        <outline val="0"/>
        <shadow val="0"/>
        <u val="none"/>
        <vertAlign val="baseline"/>
        <sz val="11"/>
        <color rgb="FFFF0000"/>
        <name val="Calibri"/>
        <scheme val="minor"/>
      </font>
      <fill>
        <patternFill patternType="solid">
          <fgColor indexed="64"/>
          <bgColor indexed="22"/>
        </patternFill>
      </fill>
    </dxf>
    <dxf>
      <font>
        <strike val="0"/>
        <outline val="0"/>
        <shadow val="0"/>
        <u val="none"/>
        <vertAlign val="baseline"/>
        <sz val="11"/>
        <color rgb="FFFF0000"/>
        <name val="Calibri"/>
        <scheme val="minor"/>
      </font>
      <numFmt numFmtId="0" formatCode="General"/>
      <fill>
        <patternFill patternType="solid">
          <fgColor indexed="64"/>
          <bgColor indexed="22"/>
        </patternFill>
      </fill>
    </dxf>
    <dxf>
      <fill>
        <patternFill patternType="solid">
          <fgColor indexed="64"/>
          <bgColor indexed="22"/>
        </patternFill>
      </fill>
    </dxf>
    <dxf>
      <numFmt numFmtId="0" formatCode="General"/>
      <fill>
        <patternFill patternType="solid">
          <fgColor indexed="64"/>
          <bgColor indexed="22"/>
        </patternFill>
      </fill>
    </dxf>
    <dxf>
      <numFmt numFmtId="0" formatCode="General"/>
    </dxf>
    <dxf>
      <font>
        <b val="0"/>
        <i val="0"/>
        <strike val="0"/>
        <condense val="0"/>
        <extend val="0"/>
        <outline val="0"/>
        <shadow val="0"/>
        <u val="none"/>
        <vertAlign val="baseline"/>
        <sz val="11"/>
        <color rgb="FF00B050"/>
        <name val="Calibri"/>
        <scheme val="minor"/>
      </font>
    </dxf>
    <dxf>
      <font>
        <strike val="0"/>
        <outline val="0"/>
        <shadow val="0"/>
        <u val="none"/>
        <vertAlign val="baseline"/>
        <sz val="11"/>
        <color rgb="FF00B050"/>
        <name val="Calibri"/>
        <scheme val="minor"/>
      </font>
      <numFmt numFmtId="0" formatCode="General"/>
    </dxf>
    <dxf>
      <font>
        <b val="0"/>
        <i val="0"/>
        <strike val="0"/>
        <condense val="0"/>
        <extend val="0"/>
        <outline val="0"/>
        <shadow val="0"/>
        <u val="none"/>
        <vertAlign val="baseline"/>
        <sz val="11"/>
        <color rgb="FF0000FF"/>
        <name val="Calibri"/>
        <scheme val="minor"/>
      </font>
    </dxf>
    <dxf>
      <font>
        <strike val="0"/>
        <outline val="0"/>
        <shadow val="0"/>
        <u val="none"/>
        <vertAlign val="baseline"/>
        <sz val="11"/>
        <color rgb="FF0000FF"/>
        <name val="Calibri"/>
        <scheme val="minor"/>
      </font>
      <numFmt numFmtId="0" formatCode="General"/>
    </dxf>
    <dxf>
      <font>
        <b val="0"/>
        <i val="0"/>
        <strike val="0"/>
        <condense val="0"/>
        <extend val="0"/>
        <outline val="0"/>
        <shadow val="0"/>
        <u val="none"/>
        <vertAlign val="baseline"/>
        <sz val="11"/>
        <color rgb="FFFF0000"/>
        <name val="Calibri"/>
        <scheme val="minor"/>
      </font>
      <fill>
        <patternFill patternType="solid">
          <fgColor indexed="64"/>
          <bgColor rgb="FFFFFF00"/>
        </patternFill>
      </fill>
    </dxf>
    <dxf>
      <font>
        <strike val="0"/>
        <outline val="0"/>
        <shadow val="0"/>
        <u val="none"/>
        <vertAlign val="baseline"/>
        <sz val="11"/>
        <color rgb="FFFF0000"/>
        <name val="Calibri"/>
        <scheme val="minor"/>
      </font>
      <numFmt numFmtId="0" formatCode="General"/>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numFmt numFmtId="164" formatCode="#,##0.0"/>
    </dxf>
    <dxf>
      <numFmt numFmtId="3" formatCode="#,##0"/>
    </dxf>
    <dxf>
      <font>
        <color rgb="FF9C0006"/>
      </font>
      <fill>
        <patternFill>
          <bgColor rgb="FFFFC7CE"/>
        </patternFill>
      </fill>
    </dxf>
    <dxf>
      <font>
        <strike val="0"/>
        <outline val="0"/>
        <shadow val="0"/>
        <u val="none"/>
        <vertAlign val="baseline"/>
        <sz val="11"/>
        <color rgb="FFFF0000"/>
        <name val="Calibri"/>
        <scheme val="minor"/>
      </font>
      <fill>
        <patternFill patternType="none">
          <fgColor indexed="64"/>
          <bgColor indexed="65"/>
        </patternFill>
      </fill>
    </dxf>
  </dxfs>
  <tableStyles count="0" defaultTableStyle="TableStyleMedium2" defaultPivotStyle="PivotStyleMedium9"/>
  <colors>
    <mruColors>
      <color rgb="FF080808"/>
      <color rgb="FFFFFFCC"/>
      <color rgb="FFCCECFF"/>
      <color rgb="FF99FFCC"/>
      <color rgb="FFF0F4B6"/>
      <color rgb="FF0000FF"/>
      <color rgb="FF00FF00"/>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D$1" max="30000" noThreeD="1" page="10" val="6"/>
</file>

<file path=xl/ctrlProps/ctrlProp4.xml><?xml version="1.0" encoding="utf-8"?>
<formControlPr xmlns="http://schemas.microsoft.com/office/spreadsheetml/2009/9/main" objectType="Spin" dx="22" fmlaLink="$A$12" inc="5" max="30000" page="10" val="90"/>
</file>

<file path=xl/ctrlProps/ctrlProp5.xml><?xml version="1.0" encoding="utf-8"?>
<formControlPr xmlns="http://schemas.microsoft.com/office/spreadsheetml/2009/9/main" objectType="Spin" dx="22" fmlaLink="$A$13" inc="5" max="30000" page="10" val="25"/>
</file>

<file path=xl/ctrlProps/ctrlProp6.xml><?xml version="1.0" encoding="utf-8"?>
<formControlPr xmlns="http://schemas.microsoft.com/office/spreadsheetml/2009/9/main" objectType="Spin" dx="22" fmlaLink="$A$19" inc="5" max="30000" page="10" val="120"/>
</file>

<file path=xl/ctrlProps/ctrlProp7.xml><?xml version="1.0" encoding="utf-8"?>
<formControlPr xmlns="http://schemas.microsoft.com/office/spreadsheetml/2009/9/main" objectType="CheckBox" checked="Checked" fmlaLink="$E$1" lockText="1"/>
</file>

<file path=xl/ctrlProps/ctrlProp8.xml><?xml version="1.0" encoding="utf-8"?>
<formControlPr xmlns="http://schemas.microsoft.com/office/spreadsheetml/2009/9/main" objectType="Drop" dropStyle="combo" dx="16" fmlaRange="$A$11:$A$19" sel="6" val="0"/>
</file>

<file path=xl/ctrlProps/ctrlProp9.xml><?xml version="1.0" encoding="utf-8"?>
<formControlPr xmlns="http://schemas.microsoft.com/office/spreadsheetml/2009/9/main" objectType="Drop" dropStyle="combo" dx="16" fmlaLink="$F$5" fmlaRange="$A$11:$A$19" sel="8" val="0"/>
</file>

<file path=xl/ctrlProps/ctrlProp10.xml><?xml version="1.0" encoding="utf-8"?>
<formControlPr xmlns="http://schemas.microsoft.com/office/spreadsheetml/2009/9/main" objectType="List" dx="22" fmlaLink="$F$7" fmlaRange="$A$11:$A$19" sel="7"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Spin" dx="22" fmlaLink="$C$5" max="30000" page="10" val="2997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2486025</xdr:colOff>
          <xdr:row>0</xdr:row>
          <xdr:rowOff>76200</xdr:rowOff>
        </xdr:from>
        <xdr:to>
          <xdr:col>0</xdr:col>
          <xdr:colOff>3562350</xdr:colOff>
          <xdr:row>0</xdr:row>
          <xdr:rowOff>619125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Makrosas bandymams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Mygtukas 1</a:t>
              </a:r>
            </a:p>
          </xdr:txBody>
        </xdr:sp>
        <xdr:clientData fPrintsWithSheet="0"/>
      </xdr:twoCellAnchor>
    </mc:Choice>
    <mc:Fallback/>
  </mc:AlternateContent>
  <xdr:twoCellAnchor editAs="absolute">
    <xdr:from>
      <xdr:col>2</xdr:col>
      <xdr:colOff>100291</xdr:colOff>
      <xdr:row>0</xdr:row>
      <xdr:rowOff>0</xdr:rowOff>
    </xdr:from>
    <xdr:to>
      <xdr:col>3</xdr:col>
      <xdr:colOff>2353235</xdr:colOff>
      <xdr:row>0</xdr:row>
      <xdr:rowOff>2160000</xdr:rowOff>
    </xdr:to>
    <mc:AlternateContent xmlns:mc="http://schemas.openxmlformats.org/markup-compatibility/2006" xmlns:sle15="http://schemas.microsoft.com/office/drawing/2012/slicer">
      <mc:Choice Requires="sle15">
        <xdr:graphicFrame macro="">
          <xdr:nvGraphicFramePr>
            <xdr:cNvPr id="2" name="Katalogas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atalogas3"/>
            </a:graphicData>
          </a:graphic>
        </xdr:graphicFrame>
      </mc:Choice>
      <mc:Fallback xmlns="">
        <xdr:sp macro="" textlink="">
          <xdr:nvSpPr>
            <xdr:cNvPr id="0" name=""/>
            <xdr:cNvSpPr>
              <a:spLocks noTextEdit="1"/>
            </xdr:cNvSpPr>
          </xdr:nvSpPr>
          <xdr:spPr>
            <a:xfrm>
              <a:off x="2576791" y="0"/>
              <a:ext cx="4393268" cy="2160000"/>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twoCellAnchor editAs="absolute">
    <xdr:from>
      <xdr:col>3</xdr:col>
      <xdr:colOff>2399177</xdr:colOff>
      <xdr:row>0</xdr:row>
      <xdr:rowOff>0</xdr:rowOff>
    </xdr:from>
    <xdr:to>
      <xdr:col>5</xdr:col>
      <xdr:colOff>1187823</xdr:colOff>
      <xdr:row>0</xdr:row>
      <xdr:rowOff>2160000</xdr:rowOff>
    </xdr:to>
    <mc:AlternateContent xmlns:mc="http://schemas.openxmlformats.org/markup-compatibility/2006" xmlns:sle15="http://schemas.microsoft.com/office/drawing/2012/slicer">
      <mc:Choice Requires="sle15">
        <xdr:graphicFrame macro="">
          <xdr:nvGraphicFramePr>
            <xdr:cNvPr id="3" name="Katalogas4">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Katalogas4"/>
            </a:graphicData>
          </a:graphic>
        </xdr:graphicFrame>
      </mc:Choice>
      <mc:Fallback xmlns="">
        <xdr:sp macro="" textlink="">
          <xdr:nvSpPr>
            <xdr:cNvPr id="0" name=""/>
            <xdr:cNvSpPr>
              <a:spLocks noTextEdit="1"/>
            </xdr:cNvSpPr>
          </xdr:nvSpPr>
          <xdr:spPr>
            <a:xfrm>
              <a:off x="7016001" y="0"/>
              <a:ext cx="4750175" cy="2160000"/>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twoCellAnchor editAs="absolute">
    <xdr:from>
      <xdr:col>5</xdr:col>
      <xdr:colOff>1225924</xdr:colOff>
      <xdr:row>0</xdr:row>
      <xdr:rowOff>0</xdr:rowOff>
    </xdr:from>
    <xdr:to>
      <xdr:col>7</xdr:col>
      <xdr:colOff>1030941</xdr:colOff>
      <xdr:row>0</xdr:row>
      <xdr:rowOff>2160000</xdr:rowOff>
    </xdr:to>
    <mc:AlternateContent xmlns:mc="http://schemas.openxmlformats.org/markup-compatibility/2006" xmlns:sle15="http://schemas.microsoft.com/office/drawing/2012/slicer">
      <mc:Choice Requires="sle15">
        <xdr:graphicFrame macro="">
          <xdr:nvGraphicFramePr>
            <xdr:cNvPr id="4" name="Katalogas5">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Katalogas5"/>
            </a:graphicData>
          </a:graphic>
        </xdr:graphicFrame>
      </mc:Choice>
      <mc:Fallback xmlns="">
        <xdr:sp macro="" textlink="">
          <xdr:nvSpPr>
            <xdr:cNvPr id="0" name=""/>
            <xdr:cNvSpPr>
              <a:spLocks noTextEdit="1"/>
            </xdr:cNvSpPr>
          </xdr:nvSpPr>
          <xdr:spPr>
            <a:xfrm>
              <a:off x="11804277" y="0"/>
              <a:ext cx="4444252" cy="2160000"/>
            </a:xfrm>
            <a:prstGeom prst="rect">
              <a:avLst/>
            </a:prstGeom>
            <a:solidFill>
              <a:prstClr val="white"/>
            </a:solidFill>
            <a:ln w="1">
              <a:solidFill>
                <a:prstClr val="green"/>
              </a:solidFill>
            </a:ln>
          </xdr:spPr>
          <xdr:txBody>
            <a:bodyPr vertOverflow="clip" horzOverflow="clip"/>
            <a:lstStyle/>
            <a:p>
              <a:r>
                <a:rPr lang="lt-LT" sz="1100"/>
                <a:t>Ši figūra reiškia lentelės duomenų filtrą. Lentelės duomenų filtrai palaikomi „Excel“ arba vėlesnėje versijoje.
Jei figūra buvo modifikuota naudojant ankstesnę „Excel“ versiją arba darbaknygė įrašyta „Excel 2007“ ar ankstesnėje versijoje, duomenų filtro naudoti negalima.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0</xdr:row>
          <xdr:rowOff>0</xdr:rowOff>
        </xdr:from>
        <xdr:to>
          <xdr:col>2</xdr:col>
          <xdr:colOff>523875</xdr:colOff>
          <xdr:row>1</xdr:row>
          <xdr:rowOff>152400</xdr:rowOff>
        </xdr:to>
        <xdr:sp macro="" textlink="">
          <xdr:nvSpPr>
            <xdr:cNvPr id="30722" name="Spinner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0</xdr:colOff>
          <xdr:row>12</xdr:row>
          <xdr:rowOff>0</xdr:rowOff>
        </xdr:to>
        <xdr:sp macro="" textlink="">
          <xdr:nvSpPr>
            <xdr:cNvPr id="30723" name="Spinner 3" hidden="1">
              <a:extLst>
                <a:ext uri="{63B3BB69-23CF-44E3-9099-C40C66FF867C}">
                  <a14:compatExt spid="_x0000_s30723"/>
                </a:ext>
                <a:ext uri="{FF2B5EF4-FFF2-40B4-BE49-F238E27FC236}">
                  <a16:creationId xmlns:a16="http://schemas.microsoft.com/office/drawing/2014/main" id="{00000000-0008-0000-0B00-0000037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30724" name="Spinner 4" hidden="1">
              <a:extLst>
                <a:ext uri="{63B3BB69-23CF-44E3-9099-C40C66FF867C}">
                  <a14:compatExt spid="_x0000_s30724"/>
                </a:ext>
                <a:ext uri="{FF2B5EF4-FFF2-40B4-BE49-F238E27FC236}">
                  <a16:creationId xmlns:a16="http://schemas.microsoft.com/office/drawing/2014/main" id="{00000000-0008-0000-0B00-0000047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0</xdr:colOff>
          <xdr:row>14</xdr:row>
          <xdr:rowOff>0</xdr:rowOff>
        </xdr:to>
        <xdr:sp macro="" textlink="">
          <xdr:nvSpPr>
            <xdr:cNvPr id="30725" name="Spinner 5" hidden="1">
              <a:extLst>
                <a:ext uri="{63B3BB69-23CF-44E3-9099-C40C66FF867C}">
                  <a14:compatExt spid="_x0000_s30725"/>
                </a:ext>
                <a:ext uri="{FF2B5EF4-FFF2-40B4-BE49-F238E27FC236}">
                  <a16:creationId xmlns:a16="http://schemas.microsoft.com/office/drawing/2014/main" id="{00000000-0008-0000-0B00-0000057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19050</xdr:rowOff>
        </xdr:from>
        <xdr:to>
          <xdr:col>5</xdr:col>
          <xdr:colOff>1466850</xdr:colOff>
          <xdr:row>1</xdr:row>
          <xdr:rowOff>0</xdr:rowOff>
        </xdr:to>
        <xdr:sp macro="" textlink="">
          <xdr:nvSpPr>
            <xdr:cNvPr id="30726" name="Check Box 6" descr="Keisti žymeklį" hidden="1">
              <a:extLst>
                <a:ext uri="{63B3BB69-23CF-44E3-9099-C40C66FF867C}">
                  <a14:compatExt spid="_x0000_s30726"/>
                </a:ext>
                <a:ext uri="{FF2B5EF4-FFF2-40B4-BE49-F238E27FC236}">
                  <a16:creationId xmlns:a16="http://schemas.microsoft.com/office/drawing/2014/main" id="{00000000-0008-0000-0B00-000006780000}"/>
                </a:ext>
              </a:extLst>
            </xdr:cNvPr>
            <xdr:cNvSpPr/>
          </xdr:nvSpPr>
          <xdr:spPr bwMode="auto">
            <a:xfrm>
              <a:off x="0" y="0"/>
              <a:ext cx="0" cy="0"/>
            </a:xfrm>
            <a:prstGeom prst="rect">
              <a:avLst/>
            </a:prstGeom>
            <a:solidFill>
              <a:srgbClr val="3366FF" mc:Ignorable="a14" a14:legacySpreadsheetColorIndex="48">
                <a:alpha val="39000"/>
              </a:srgbClr>
            </a:solidFill>
            <a:ln w="31750">
              <a:solidFill>
                <a:srgbClr val="00FF00" mc:Ignorable="a14" a14:legacySpreadsheetColorIndex="11"/>
              </a:solidFill>
              <a:prstDash val="sysDot"/>
              <a:miter lim="800000"/>
              <a:headEnd/>
              <a:tailEnd/>
            </a:ln>
            <a:effectLst/>
            <a:extLst>
              <a:ext uri="{AF507438-7753-43E0-B8FC-AC1667EBCBE1}">
                <a14:hiddenEffects>
                  <a:effectLst>
                    <a:outerShdw dist="35921" dir="2700000" algn="ctr" rotWithShape="0">
                      <a:srgbClr val="510000"/>
                    </a:outerShdw>
                  </a:effectLst>
                </a14:hiddenEffects>
              </a:ext>
              <a:ext uri="{53640926-AAD7-44D8-BBD7-CCE9431645EC}">
                <a14:shadowObscured val="1"/>
              </a:ext>
            </a:extLst>
          </xdr:spPr>
          <xdr:txBody>
            <a:bodyPr vertOverflow="clip" wrap="square" lIns="27432" tIns="18288" rIns="0" bIns="18288" anchor="ctr" upright="1"/>
            <a:lstStyle/>
            <a:p>
              <a:pPr algn="l" rtl="0">
                <a:defRPr sz="1000"/>
              </a:pPr>
              <a:r>
                <a:rPr lang="lt-LT" sz="800" b="0" i="0" u="none" strike="noStrike" baseline="0">
                  <a:solidFill>
                    <a:srgbClr val="000000"/>
                  </a:solidFill>
                  <a:latin typeface="Segoe UI"/>
                  <a:cs typeface="Segoe UI"/>
                </a:rPr>
                <a:t>Keisti žymeklį</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1466850</xdr:colOff>
          <xdr:row>4</xdr:row>
          <xdr:rowOff>0</xdr:rowOff>
        </xdr:to>
        <xdr:sp macro="" textlink="">
          <xdr:nvSpPr>
            <xdr:cNvPr id="30727" name="Drop Down 7" hidden="1">
              <a:extLst>
                <a:ext uri="{63B3BB69-23CF-44E3-9099-C40C66FF867C}">
                  <a14:compatExt spid="_x0000_s30727"/>
                </a:ext>
                <a:ext uri="{FF2B5EF4-FFF2-40B4-BE49-F238E27FC236}">
                  <a16:creationId xmlns:a16="http://schemas.microsoft.com/office/drawing/2014/main" id="{00000000-0008-0000-0B00-0000077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5</xdr:col>
          <xdr:colOff>1466850</xdr:colOff>
          <xdr:row>5</xdr:row>
          <xdr:rowOff>0</xdr:rowOff>
        </xdr:to>
        <xdr:sp macro="" textlink="">
          <xdr:nvSpPr>
            <xdr:cNvPr id="30728" name="Drop Down 8" hidden="1">
              <a:extLst>
                <a:ext uri="{63B3BB69-23CF-44E3-9099-C40C66FF867C}">
                  <a14:compatExt spid="_x0000_s30728"/>
                </a:ext>
                <a:ext uri="{FF2B5EF4-FFF2-40B4-BE49-F238E27FC236}">
                  <a16:creationId xmlns:a16="http://schemas.microsoft.com/office/drawing/2014/main" id="{00000000-0008-0000-0B00-0000087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7</xdr:row>
          <xdr:rowOff>180975</xdr:rowOff>
        </xdr:from>
        <xdr:to>
          <xdr:col>5</xdr:col>
          <xdr:colOff>1066800</xdr:colOff>
          <xdr:row>14</xdr:row>
          <xdr:rowOff>66675</xdr:rowOff>
        </xdr:to>
        <xdr:sp macro="" textlink="">
          <xdr:nvSpPr>
            <xdr:cNvPr id="30729" name="List Box 9" hidden="1">
              <a:extLst>
                <a:ext uri="{63B3BB69-23CF-44E3-9099-C40C66FF867C}">
                  <a14:compatExt spid="_x0000_s30729"/>
                </a:ext>
                <a:ext uri="{FF2B5EF4-FFF2-40B4-BE49-F238E27FC236}">
                  <a16:creationId xmlns:a16="http://schemas.microsoft.com/office/drawing/2014/main" id="{00000000-0008-0000-0B00-0000097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510000"/>
                    </a:outerShdw>
                  </a:effectLst>
                </a14:hiddenEffects>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647700</xdr:colOff>
          <xdr:row>8</xdr:row>
          <xdr:rowOff>0</xdr:rowOff>
        </xdr:from>
        <xdr:to>
          <xdr:col>2</xdr:col>
          <xdr:colOff>2324100</xdr:colOff>
          <xdr:row>14</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Mygtukas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6</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Mygtukas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1</xdr:row>
          <xdr:rowOff>85725</xdr:rowOff>
        </xdr:from>
        <xdr:to>
          <xdr:col>12</xdr:col>
          <xdr:colOff>38100</xdr:colOff>
          <xdr:row>6</xdr:row>
          <xdr:rowOff>85725</xdr:rowOff>
        </xdr:to>
        <xdr:sp macro="" textlink="">
          <xdr:nvSpPr>
            <xdr:cNvPr id="24608" name="Option Button 32" hidden="1">
              <a:extLst>
                <a:ext uri="{63B3BB69-23CF-44E3-9099-C40C66FF867C}">
                  <a14:compatExt spid="_x0000_s24608"/>
                </a:ext>
                <a:ext uri="{FF2B5EF4-FFF2-40B4-BE49-F238E27FC236}">
                  <a16:creationId xmlns:a16="http://schemas.microsoft.com/office/drawing/2014/main" id="{00000000-0008-0000-0F00-00002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lt-LT" sz="800" b="0" i="0" u="none" strike="noStrike" baseline="0">
                  <a:solidFill>
                    <a:srgbClr val="000000"/>
                  </a:solidFill>
                  <a:latin typeface="Segoe UI"/>
                  <a:cs typeface="Segoe UI"/>
                </a:rPr>
                <a:t>Parinkties mygtukas 32</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5</xdr:row>
          <xdr:rowOff>0</xdr:rowOff>
        </xdr:to>
        <xdr:sp macro="" textlink="">
          <xdr:nvSpPr>
            <xdr:cNvPr id="27649" name="Spinner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581025</xdr:colOff>
          <xdr:row>0</xdr:row>
          <xdr:rowOff>57150</xdr:rowOff>
        </xdr:from>
        <xdr:to>
          <xdr:col>4</xdr:col>
          <xdr:colOff>276225</xdr:colOff>
          <xdr:row>2</xdr:row>
          <xdr:rowOff>76200</xdr:rowOff>
        </xdr:to>
        <xdr:sp macro="" textlink="">
          <xdr:nvSpPr>
            <xdr:cNvPr id="27661" name="Button 13" hidden="1">
              <a:extLst>
                <a:ext uri="{63B3BB69-23CF-44E3-9099-C40C66FF867C}">
                  <a14:compatExt spid="_x0000_s27661"/>
                </a:ext>
                <a:ext uri="{FF2B5EF4-FFF2-40B4-BE49-F238E27FC236}">
                  <a16:creationId xmlns:a16="http://schemas.microsoft.com/office/drawing/2014/main" id="{00000000-0008-0000-1000-00000D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Module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3</xdr:row>
          <xdr:rowOff>171450</xdr:rowOff>
        </xdr:from>
        <xdr:to>
          <xdr:col>10</xdr:col>
          <xdr:colOff>76200</xdr:colOff>
          <xdr:row>5</xdr:row>
          <xdr:rowOff>0</xdr:rowOff>
        </xdr:to>
        <xdr:sp macro="" textlink="">
          <xdr:nvSpPr>
            <xdr:cNvPr id="27662" name="SpinButton1" hidden="1">
              <a:extLst>
                <a:ext uri="{63B3BB69-23CF-44E3-9099-C40C66FF867C}">
                  <a14:compatExt spid="_x0000_s27662"/>
                </a:ext>
                <a:ext uri="{FF2B5EF4-FFF2-40B4-BE49-F238E27FC236}">
                  <a16:creationId xmlns:a16="http://schemas.microsoft.com/office/drawing/2014/main" id="{00000000-0008-0000-10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638175</xdr:colOff>
          <xdr:row>1</xdr:row>
          <xdr:rowOff>123825</xdr:rowOff>
        </xdr:from>
        <xdr:to>
          <xdr:col>5</xdr:col>
          <xdr:colOff>571500</xdr:colOff>
          <xdr:row>7</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Mygtukas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3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Mygtukas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VBA%20komandos.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2680.599942361114" createdVersion="6" refreshedVersion="6" minRefreshableVersion="3" recordCount="9">
  <cacheSource type="worksheet">
    <worksheetSource name="Lentelė2" r:id="rId2"/>
  </cacheSource>
  <cacheFields count="14">
    <cacheField name="Dydis (baitais)" numFmtId="3">
      <sharedItems containsSemiMixedTypes="0" containsString="0" containsNumber="1" containsInteger="1" minValue="12808" maxValue="2102253"/>
    </cacheField>
    <cacheField name="Dydis GB" numFmtId="164">
      <sharedItems containsSemiMixedTypes="0" containsString="0" containsNumber="1" minValue="1.1928379535675049E-5" maxValue="1.9578756764531136E-3"/>
    </cacheField>
    <cacheField name="Failas" numFmtId="0">
      <sharedItems/>
    </cacheField>
    <cacheField name="Katalogas bendras" numFmtId="0">
      <sharedItems/>
    </cacheField>
    <cacheField name="Kat1" numFmtId="0">
      <sharedItems/>
    </cacheField>
    <cacheField name="Kat2" numFmtId="0">
      <sharedItems count="31">
        <s v="1974 Mariaus vaikystė"/>
        <s v="" u="1"/>
        <s v="MEMORY" u="1"/>
        <s v="GERIAUSIOS (kopijos)" u="1"/>
        <s v="2009, 1797f Talinas su Massimo [nebaigtas tvarkyti]" u="1"/>
        <s v="Mama-Skirmantas" u="1"/>
        <s v="1978 Indrės" u="1"/>
        <s v="2016" u="1"/>
        <s v="INDRES MENINE FOTOGRAFIJA" u="1"/>
        <s v="2008, 866 f, Nida su Alessandro" u="1"/>
        <s v="2004, 72 f" u="1"/>
        <s v="VIDEO" u="1"/>
        <s v="2006, 772 f, Canon Pover Shot nuo 2006 11 17" u="1"/>
        <s v="2015" u="1"/>
        <s v="2010, 1060f, Butas Ukm.g.5 [nebaigtas]" u="1"/>
        <s v="2003, Vaikų krikštynos" u="1"/>
        <s v="2014" u="1"/>
        <s v="VAIKU DARBELIAI" u="1"/>
        <s v="KITOS" u="1"/>
        <s v="2005, 232 f, Ameksas, Pentax Optio" u="1"/>
        <s v="2013" u="1"/>
        <s v="2001, 61 foto" u="1"/>
        <s v="2012" u="1"/>
        <s v="Tetes foto" u="1"/>
        <s v="TECHNINĖ FOTOGRAFIJA [remontas, baldai, skaitliukai]" u="1"/>
        <s v="2000, Vestuvės, Vilytė" u="1"/>
        <s v="2011" u="1"/>
        <s v="INDRĖ ITALIJOJE" u="1"/>
        <s v="FOTO PARDAVIMUI" u="1"/>
        <s v="2002, Aidutis" u="1"/>
        <s v="2007, 2180 f Italija, Vilijos pirmoji klasė" u="1"/>
      </sharedItems>
    </cacheField>
    <cacheField name="Kat3" numFmtId="0">
      <sharedItems count="213">
        <s v=""/>
        <s v="1948-1975 Genos"/>
        <s v="2009 05 02 Šašlykai su Mantu pas Ireną" u="1"/>
        <s v="2009 04 08 Indrė su klasikiniu kostiumėliu TOP 11" u="1"/>
        <s v="2009 05 08-18 Italija - Indrė Pantelerijos saloje" u="1"/>
        <s v="2006 12 10 Fakirai" u="1"/>
        <s v="2008-10-23 Neapolis" u="1"/>
        <s v="2006 11 18 Grok Jurgeli - Vilijos koncertas Siemens arenoje Vilniuje" u="1"/>
        <s v="2006 11 26 Litexpo - vaikų pasaulis, tekstilė ir namų įrangos paroda" u="1"/>
        <s v="2009 11 27 Nuskanuoti piešiniai" u="1"/>
        <s v="2009 11 17 Vaikų piešinių skenavimas" u="1"/>
        <s v="2006 12 28 Vaiku eglute darzelyje" u="1"/>
        <s v="1992-1999 Po vidurinės" u="1"/>
        <s v="2009 06 22 Tallinn [nesutvarkyta]" u="1"/>
        <s v="2009 03 26 Paroda Litexpo Baldai 2009" u="1"/>
        <s v="2011 10 15 Vaikų gimtadienis [Vilijai 11, Aidui 9 metai] (1)" u="1"/>
        <s v="2008 10 23 Neapolis ir Kapris" u="1"/>
        <s v="2010 09 26 Jolantos nuotraukos" u="1"/>
        <s v="2007 07 15 Algis Bindokas" u="1"/>
        <s v="2006 06 12 - 08 01 Ale [Alessandro fotoaparatas]" u="1"/>
        <s v="Batai pardavimui" u="1"/>
        <s v="2010 05 02 Dariaus išleistuvės" u="1"/>
        <s v="2010 03 09 Genadijus" u="1"/>
        <s v="2007 12 27 Aido Kaledine svente darzelyje" u="1"/>
        <s v="Video sninga" u="1"/>
        <s v="2008 08 23 Hansa dienos Kaune" u="1"/>
        <s v="2008 03 21 Arvydo sekcija" u="1"/>
        <s v="2010 05 02 Rasos interjeras" u="1"/>
        <s v="2008 09 05 Vonia galutinai įrengta" u="1"/>
        <s v="2010 09 25 Indrė" u="1"/>
        <s v="Dokumentai Indres mama" u="1"/>
        <s v="2008 12 29 Aidučio Kalėdų senelis [darželyje]" u="1"/>
        <s v="2010 06 30 Kristinos diplomo iteikimo ceremonija" u="1"/>
        <s v="2008 03 18-29 Vaikai fotografuoja" u="1"/>
        <s v="2008 04 08 Skirmanto kambario baldai" u="1"/>
        <s v="2009 09 01 Aido rugsėjo pirmoji" u="1"/>
        <s v="2005 12 29 Vilijos karnavalas darzelyje" u="1"/>
        <s v="2008 05 29 Vlytės išleistuvės I kl" u="1"/>
        <s v="2006 01 Vaiku zaisliukai" u="1"/>
        <s v="2004 09 07 - xx xx Indres kelione i Italija (pirmoji) pas Saverio" u="1"/>
        <s v="2008 12 14 Liverpulis" u="1"/>
        <s v="2005 12 28 Amekso Firmos Kaledinis balius" u="1"/>
        <s v="2007 11 17 Indres kleione i Italija su automobilistais [Milanas, Rimini]" u="1"/>
        <s v="2013 07 10 Tėtė" u="1"/>
        <s v="2000 05 06 VESTUVES" u="1"/>
        <s v="2010 04 30 Aido šventinė  programa mokykloje" u="1"/>
        <s v="2007 09 01 Vilijos Rugsejo pirmoji [pirma klase]" u="1"/>
        <s v="2010 03 13 Lukšiai" u="1"/>
        <s v="Laidotuves 1980-1994" u="1"/>
        <s v="2007 07 22 Mariaus klases susitikimas [po 15 metu]" u="1"/>
        <s v="1982m.11a. - Šakių r. Lukšių V. Grybo vidurinė mokykla - klase.lt 2_files" u="1"/>
        <s v="2009 04 08 Indrė su klasikiniu kostiumėliu" u="1"/>
        <s v="2009 10 17 Gintaro gimtadienis 40 metų" u="1"/>
        <s v="2014 07 13 Gamtoje Užusaliuose" u="1"/>
        <s v="2011 04 25 Mūsų automobilis Nissan Primera" u="1"/>
        <s v="2007 01 02 Amekso pianke (pachmielas po naujuju)" u="1"/>
        <s v="2010 09 01 Rugsėjo pirmoji" u="1"/>
        <s v="2008 07 05 Poilsis Kaune" u="1"/>
        <s v="2008 01 13 Bendras koridorius" u="1"/>
        <s v="Indres meninė fotografija" u="1"/>
        <s v="2011 10 02 Vaikų darbeliai skan" u="1"/>
        <s v="2010 05 16 Ledas iš plastmasės prie Megos" u="1"/>
        <s v="2008 12 23 Svente Ledo Arenoje" u="1"/>
        <s v="2014 08 11 - 21 Švedija I darbo vizitas [su Skirmantu]" u="1"/>
        <s v="2007 04 14 Zoologijos sode" u="1"/>
        <s v="2008 05 19 - 05 27 Roma Vertimas xxx" u="1"/>
        <s v="2007 07 28 Indres klases susitikimas [po 10 metu]" u="1"/>
        <s v="2005 05 17 - 06 09 Indre Italijoje - CIELS egzaminas B2" u="1"/>
        <s v="Rūbai pardavimui" u="1"/>
        <s v="2010 09 11-12 Lukšiai" u="1"/>
        <s v="2008 08 22 Kauno dienos forumas Megoje" u="1"/>
        <s v="2007 07 06 Amekso saskrydis [Skrebinai]" u="1"/>
        <s v="2010 05 09 Karuselės Kaune" u="1"/>
        <s v="2010 05 27 Vilijos kelionė laivu į Rumšiškes su klase" u="1"/>
        <s v="2008 09 22 Indrės nosies operacija" u="1"/>
        <s v="2014 08 28 - 09 13 Švedija II darbo vizitas [Hakantorp Slakteri AB]" u="1"/>
        <s v="Piešimas" u="1"/>
        <s v="2012 01 18 Avarija [Nissan Primera - Renault Espace]" u="1"/>
        <s v="Iš kompaktinio disko" u="1"/>
        <s v="2012 04 28 Aido dviratis" u="1"/>
        <s v="2008 06 09 Prie ezero" u="1"/>
        <s v="2009 07 26 Silale, fazenda, Palanga" u="1"/>
        <s v="Gimines" u="1"/>
        <s v="1 Indres albumas" u="1"/>
        <s v="2005 10 30 Webcam pas Kristina Aidutis" u="1"/>
        <s v="2009 09 10 Kleionė į Vilnių [Indrės konferencija, Europos PC, Panorama PC]" u="1"/>
        <s v="2006 08 22 - 08 29 Max [Massimo]" u="1"/>
        <s v="2009 05 24 Kauno dienos" u="1"/>
        <s v="2011 10 04 Baldai, Studija Sensus, antrame aukšte" u="1"/>
        <s v="2011 05 31 Aido antros klasės visos foto [renginiai ir išvykos]" u="1"/>
        <s v="2009 05 28 Vilijos išleistuvės pabaigus antrą klasę" u="1"/>
        <s v="Nerusiuotos" u="1"/>
        <s v="2006 11 11 Mūsų butas prieš remontą [virtuvė, koridorius, kiemas]" u="1"/>
        <s v="2005 10 30 Webcam pas Kristina Vilyte" u="1"/>
        <s v="2016 07 09 Močiutės 90 metų jubiliejus" u="1"/>
        <s v="2005 11 Akropolis Vilnius" u="1"/>
        <s v="Atspausdintos nuotraukos" u="1"/>
        <s v="2006 11 11 Grok Jurgeli - Vilijos koncertas Sporto Halėje" u="1"/>
        <s v="2007 12 02 Indres kelione i Italija su automobilistais [Milanas, Florencija, Lago Maggiore, Florencija, Venecija]" u="1"/>
        <s v="2008 11 11-18 Vilijos ir mamos kelionė į Italiją" u="1"/>
        <s v="Vilijos gimtadienis 13 metų" u="1"/>
        <s v="2007 02 20 - 02 25 Indres kelione i Italija (V)" u="1"/>
        <s v="2009 08 22 - 23 Riterių šventė prie Aleksoto tilto" u="1"/>
        <s v="2009 07 17 Baldų dirbtuvės" u="1"/>
        <s v="2008 10 19 Vaikų gimtadienis [Vilijai-8, Aidui-6]" u="1"/>
        <s v="2010 04 30 - 09 11 BUTO REMONTAS ir kraustymasis į Ukmergės g. [video struktūrinis tink]" u="1"/>
        <s v="2007 03 29 Eimantas" u="1"/>
        <s v="Ledo arena" u="1"/>
        <s v="2006 05 27 - 06 11 Indres kelione i Italija CYLS III" u="1"/>
        <s v="2008 02 24 Prieskambario rubu spinta" u="1"/>
        <s v="2015-05-20 Skanavimas" u="1"/>
        <s v="2010 10 15 Vaikų gimtadienis [Vilijai 10, Aidui 8 metai]" u="1"/>
        <s v="2016 02 09 FOTO Kristei - Mamai (kopijos)" u="1"/>
        <s v="2009 02 07 Kristinos ir Ingos gimtadienis pirtelėje" u="1"/>
        <s v="Tėtės metinės foto" u="1"/>
        <s v="Vilija su draugėmis" u="1"/>
        <s v="2008 05 06 Mamos svente Ledo Arenoje" u="1"/>
        <s v="2016 02 13 Kristinos 40 metų jubiliejus" u="1"/>
        <s v="2008 05 11 Prie Kauno pilies, lunaparkas" u="1"/>
        <s v="2008 09 03 Paroda Litexpo - Dall'Italia [Indrė vertėjauja parodoje Litexpo]" u="1"/>
        <s v="2009 04 30 Lukšiai Jonsered pjūklas" u="1"/>
        <s v="2008 03 06 Vonios remontas [vonia, medziagos]" u="1"/>
        <s v="2015 05 27 Mano foto" u="1"/>
        <s v="2011 11 21 Indrės kelionė į Paryžių" u="1"/>
        <s v="2015 05 31 Kysos paieška stalažuose" u="1"/>
        <s v="2007 07 30 Luksiai [isdziuves ezeras]" u="1"/>
        <s v="2011 05 01 Kysa ir kačiukai Video" u="1"/>
        <s v="2011 04 13 Laisvalaikio foto, Stumbro gamykla, [kai pamečiau akinių kojelę]" u="1"/>
        <s v="Skanavimas" u="1"/>
        <s v="2007 Vaiku darbeliai" u="1"/>
        <s v="2008 09 19 Paroda [Indrė atstovauja italu kompanijai Litexpo parodoje]" u="1"/>
        <s v="2005 10 15 Vilijos [5] ir Aido [3] gimtadienis" u="1"/>
        <s v="mamos foto" u="1"/>
        <s v="2011 05 01 Kysa ir kačiukai" u="1"/>
        <s v="2011 05 14 Irenos daržo apsodinimas" u="1"/>
        <s v="2009 06 28 Susitikimas su Pupų dėde prie Pakuonio bažnyčios per mišias" u="1"/>
        <s v="2007 05 17-24 Musu kelione i Italija" u="1"/>
        <s v="2008 09 01 Rugsejo pirmoji" u="1"/>
        <s v="2007 09 16 - 09 25 Indre kelione i Italijoja (VIII) su automobiliu pirkejais" u="1"/>
        <s v="2011 10 31 Kelionė į Vilnių su I. Mama" u="1"/>
        <s v="1974-1992 Vidurinė mokykla" u="1"/>
        <s v="2008 04 06 Vaiku fotografija - Vilijos SUPER vaizdeliai" u="1"/>
        <s v="2009 08 04 Skirmanto gimtadienis" u="1"/>
        <s v="2011 10 01 Antano ir Onutės Šulinys" u="1"/>
        <s v="2007 01 20 Teofilės Stalygienė" u="1"/>
        <s v="2010 08 10 Mūsų butas Riešutų g. prieš išsikraustymą" u="1"/>
        <s v="2007 08 30 Ryga [Indre su Massimo]" u="1"/>
        <s v="2007 08 29 Rumsiskės su Massimo" u="1"/>
        <s v="2007 04 02 Italija su 2 vaikinukais pirkti mašinų" u="1"/>
        <s v="2009 11 05 Ledo arena - treniruotės" u="1"/>
        <s v="2011 12 31 Naujametiniai fejerverkai" u="1"/>
        <s v="2015 08 08-09 Kelionė į Varšuvą" u="1"/>
        <s v="2009 04 25 Karuselės Urme" u="1"/>
        <s v="2006 12 24 Fotosesija pas Mama per Kucias" u="1"/>
        <s v="2009 05 03 Pasivaikščiojimas su vaikais" u="1"/>
        <s v="2009 04 22 Vaidinimas - spektakliukas Darželyje Aidas -" u="1"/>
        <s v="2008 02 05 Indres kelione i Italija su masinistais [lektuvu] Italija, vasario 5-9" u="1"/>
        <s v="2008 08 11 Prienai" u="1"/>
        <s v="2009 04 15 Čiuožimo sezono uždarymo šventė Ledo arenoje" u="1"/>
        <s v="2010 12 21 Aido kalėdinė programa mokykloje" u="1"/>
        <s v="2008 05 17 Žydi rapsai" u="1"/>
        <s v="2014 08 02 Klasiokų susitikimas pas Julių" u="1"/>
        <s v="2011 12 25 Aido LEGO" u="1"/>
        <s v="DRABUŽĖLIAI PARDAVMIMUI" u="1"/>
        <s v="2007 05 31 Vilijos isleistuves darzelyje" u="1"/>
        <s v="2010 05 30 Aido 1b klasės kelionės ir nuotykiai" u="1"/>
        <s v="Nuskanuoti dokumentai" u="1"/>
        <s v="2010 06 30 Diplomo iteikimas" u="1"/>
        <s v="2010 12 14 BMW X5 Marijampolė" u="1"/>
        <s v="Kristinos portretinės nuotraukos" u="1"/>
        <s v="RENOVACIJA" u="1"/>
        <s v="2008 08 27 Indres gimtadienis" u="1"/>
        <s v="2009 04 12 Nauji fokusai su fotiku" u="1"/>
        <s v="Veidai" u="1"/>
        <s v="2007 12 19 Vilijos Kaledu eglute Etnostudijoje" u="1"/>
        <s v="2007 12 19 Vilijos Kaldeu senelis Etnostudijoje" u="1"/>
        <s v="2007 03 27 Violeta Moroziene" u="1"/>
        <s v="2007 12 30 Diedukas" u="1"/>
        <s v="2012 07 06 Fazenda Silale" u="1"/>
        <s v="2007 03 Indres mamos butas pries pardavima" u="1"/>
        <s v="Is luksiu vid mok tinklapio nuotraukos" u="1"/>
        <s v="2008 09 07 Mindaugo veidrodinio fotoaparato išbandymas" u="1"/>
        <s v="2010 11 26 iškėlimas" u="1"/>
        <s v="2005 07 Amekso Regata" u="1"/>
        <s v="Šeimyninės nuotraukos kopijos" u="1"/>
        <s v="2012 05 06 Grūto parkas" u="1"/>
        <s v="2007 05 31 - 06 10 [9] Indre pasiliko laikyti egzamina [Cils IV]" u="1"/>
        <s v="2011 03 05 Genadijaus metinės" u="1"/>
        <s v="FOTO koliazai" u="1"/>
        <s v="2008 12 31 Naujieji 2009 fejerverkai" u="1"/>
        <s v="2008 Vaikų darbeliai ir žaidimai [sken]" u="1"/>
        <s v="2015 05 25 Išvyka į Jonavą" u="1"/>
        <s v="2009 02 08 Vaikai fotografuoja" u="1"/>
        <s v="2007 12 18 Tualetas prieš remontą" u="1"/>
        <s v="2012 05 26 Vilijos pirmoji komunija" u="1"/>
        <s v="2015 01 07 Tapetavimas Riešutų bute" u="1"/>
        <s v="2009 05 29 Aido išleistuvės darželyje" u="1"/>
        <s v="2007 08 09 Kryziu kalnas - Ryga su Ale" u="1"/>
        <s v="2009 09 20 Vaikai plaukia su laivu Kauno mariose" u="1"/>
        <s v="2008 05 28 Babytė" u="1"/>
        <s v="Aido gimtadienis 11 metų" u="1"/>
        <s v="2007 11 12 Virtuves remontas" u="1"/>
        <s v="2008 08 21 Kelionė į Nidą su Alessandro" u="1"/>
        <s v="Per balkono langą" u="1"/>
        <s v="2009 03 31 Vaikai prie Devintao forto" u="1"/>
        <s v="2011 05 15 Sekmadienio turistinis žygis į Kleboniškio mišką [7,6 km pėsčiomis]" u="1"/>
        <s v="2009 12 18 Vaikų Kalėdų eglutė mokykloje" u="1"/>
        <s v="2009 05 29 Aido isvyka su darzeliu po Kauna" u="1"/>
        <s v="Vestuvės" u="1"/>
        <s v="2013 12 21 Casino vakarėlis" u="1"/>
        <s v="2010 12 27 Baseinas Vilija mokinasi plaukti, Aidas pratinasi prie vandens" u="1"/>
        <s v="2008 05 03 Prie Kauno Marių" u="1"/>
        <s v="2012 07 27 Klasiokų susitikimas 20m" u="1"/>
      </sharedItems>
    </cacheField>
    <cacheField name="Kat4" numFmtId="0">
      <sharedItems count="104">
        <s v=""/>
        <s v="Armija"/>
        <s v="Kaziuko muge 2010 kovas" u="1"/>
        <s v="2008 08 26 www.fotopigiau.lt Megoje Vaga 18 nuotr - 8  lt" u="1"/>
        <s v="1977~- 3.1 Palangoje su Bartisiais.jpg" u="1"/>
        <s v="New Folder (2)" u="1"/>
        <s v="Audros ir Kesto vestuvės.jpg" u="1"/>
        <s v="Atrinktos" u="1"/>
        <s v="1966 04 16 Eimanto vestuves" u="1"/>
        <s v="2009 06 22 Tallinn, Massimo fotoaparatas" u="1"/>
        <s v="2008 06 28 Babytes laidotuviu keturnedelis" u="1"/>
        <s v="2008 05 19-22 Roma" u="1"/>
        <s v="Miesto maketas" u="1"/>
        <s v="Indrei" u="1"/>
        <s v="2010 05 17 Kelione i Kursiu nerija" u="1"/>
        <s v="2008 05 26-27 Indrė Italijoje" u="1"/>
        <s v="2008 05 25 Roma, Marina di Grossetto" u="1"/>
        <s v="2005 05 30 Rimini" u="1"/>
        <s v="Estafetes 2010 kovas" u="1"/>
        <s v="2011 03 05 Genadijaus metinės Comandos" u="1"/>
        <s v="1987  7~Kelione i Ukraina [Staviscia] pas Genadijaus mama" u="1"/>
        <s v="Vainikai" u="1"/>
        <s v="2005 06 09 Firenze" u="1"/>
        <s v="2008 08 26 Fotocentras Hypermaxima 6 nuort - 5 lt" u="1"/>
        <s v="patikrinti ar nesidubliuoja" u="1"/>
        <s v="Mama" u="1"/>
        <s v="Kalediniai zibintai" u="1"/>
        <s v="2010 01 20 Isvyka pas gaisrininkus" u="1"/>
        <s v="1987~Luksiu ivykiai" u="1"/>
        <s v="2 skan" u="1"/>
        <s v="1982 - 8.6 Nida su broliukais" u="1"/>
        <s v="1974-1992 Vaikyste" u="1"/>
        <s v="Eimantas" u="1"/>
        <s v="Pro virtuvės langą" u="1"/>
        <s v="Mamos nuotraukos" u="1"/>
        <s v="1980 - 6.4 Nida su visa seima" u="1"/>
        <s v="2005 06 05 Siena" u="1"/>
        <s v="2010 04 30 MAMYCIU SVENTE" u="1"/>
        <s v="2010 07 31 Elektros intaliacija" u="1"/>
        <s v="Gyvenimiska istorija" u="1"/>
        <s v="2009 09 24 Pociūnai - Birštonas - Škėvonių atodanga 2009" u="1"/>
        <s v="1988 10 15 Mamos ir Genadijaus vestuves" u="1"/>
        <s v="2009 05 24 Pas Ireną sode per Babytės laidotuvių metines" u="1"/>
        <s v="2005 05 28 Rimini" u="1"/>
        <s v="Gimines" u="1"/>
        <s v="2005 06 02" u="1"/>
        <s v="Marius" u="1"/>
        <s v="2005 05 20~Indres kelione i Italija" u="1"/>
        <s v="2010 08 12 Turne po buto remontą [nebaigtas]" u="1"/>
        <s v="Išsiūsta Compensai [8 JPG failai]" u="1"/>
        <s v="Saugaus eismo mokykloje 2009" u="1"/>
        <s v="2009 11 06 mano sukonstruotas daiktas" u="1"/>
        <s v="1995 08 05 Kristės ir Arvio vestuvės" u="1"/>
        <s v="1982 - 8.6 Palanga [Mama, Kriste ir as]" u="1"/>
        <s v="Ledo arena" u="1"/>
        <s v="Nenatūralios" u="1"/>
        <s v="1981 - 7.5 Nida su visa seima" u="1"/>
        <s v="1979 - 5.3 Nida kelione su teciu i Juru muzieju" u="1"/>
        <s v="Uzgaveniu kaukes" u="1"/>
        <s v="2005 06 08 Siena" u="1"/>
        <s v="Tetes foto" u="1"/>
        <s v="2009 12 14 Linksma - liudna nuotaikos" u="1"/>
        <s v="Mokykla XXXVIII laida" u="1"/>
        <s v="Eilerasciu konkursas skirtas Vasario 16" u="1"/>
        <s v="2007 05 17-24 Albumas Kelionė į Italiją [VISOS]" u="1"/>
        <s v="Piešti portretą" u="1"/>
        <s v="1978 06 Balius prie baznycios tvoros" u="1"/>
        <s v="2005 06 01 Rimini" u="1"/>
        <s v="KYSA [visi foto ir video su Kysa iki pabėgimo, tik kopijos]" u="1"/>
        <s v="Info" u="1"/>
        <s v="ALBUMAS [VISOS - Jolkos, Aušros ir mano]" u="1"/>
        <s v="Atrinktos (kopijos)" u="1"/>
        <s v="2005 06 04 Chianciano Terme" u="1"/>
        <s v="FOTO pardavimui" u="1"/>
        <s v="2006 12 17 Kelionės į italija PLANAVIMAS" u="1"/>
        <s v="Apkarpytos" u="1"/>
        <s v="2010 03 10 Kitos" u="1"/>
        <s v="Paminklų pavyzdžiai" u="1"/>
        <s v="Nida" u="1"/>
        <s v="2007 05 17-24 Albumas Kelionė į Italiją [trumpas]" u="1"/>
        <s v="2005 06 06 Siena" u="1"/>
        <s v="2010 01 07 Naujametinė programa Ledo arenoje" u="1"/>
        <s v="2005 05 29 Rimini" u="1"/>
        <s v="2009 12 18 KALEDU SVENTE" u="1"/>
        <s v="Irena" u="1"/>
        <s v="2010 01 08 Sniego svente Aido 1b" u="1"/>
        <s v="2011 06 08 Debesys, foto sesijos 5x10" u="1"/>
        <s v="2008 08 26 Topolis 2 nuotr. - 3,2 lt" u="1"/>
        <s v="www nuotraukų gamyba" u="1"/>
        <s v="Piesiame pilis Zalgirio 600 - metinems" u="1"/>
        <s v="Laidotuves" u="1"/>
        <s v="VIDEO Struktūrinis tinkas" u="1"/>
        <s v="Babytė" u="1"/>
        <s v="Pradinuku eilerasciu konkursas skirtas Kovo 11" u="1"/>
        <s v="1978 - 4.2 Nida su visa seima.jpg" u="1"/>
        <s v="Foto x12 visi" u="1"/>
        <s v="VISOS" u="1"/>
        <s v="Įkėlimui į internetą tik kopijos" u="1"/>
        <s v="Pas Tete" u="1"/>
        <s v="1970 08 08 Mamos ir Tetes vestuves" u="1"/>
        <s v="2005 06 03 Chianciano" u="1"/>
        <s v="2010 03 24 Velykiniai atvirukai" u="1"/>
        <s v="Juroje" u="1"/>
        <s v="2007 12 27 Aido Kaledine svente darzelyje Albumas" u="1"/>
      </sharedItems>
    </cacheField>
    <cacheField name="Path0" numFmtId="0">
      <sharedItems/>
    </cacheField>
    <cacheField name="Path1" numFmtId="0">
      <sharedItems/>
    </cacheField>
    <cacheField name="Path2" numFmtId="0">
      <sharedItems/>
    </cacheField>
    <cacheField name="Path3" numFmtId="0">
      <sharedItems/>
    </cacheField>
    <cacheField name="Path4" numFmtId="0">
      <sharedItems/>
    </cacheField>
    <cacheField name="Path5"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
  <r>
    <n v="2102253"/>
    <n v="1.9578756764531136E-3"/>
    <s v="1995 10 07 Draugas straipsnis apie Burkšaitį [jame minimas ir Aš].jpg"/>
    <s v="E:\2 FOTO\1974 Mariaus vaikystė"/>
    <s v="2 FOTO"/>
    <x v="0"/>
    <x v="0"/>
    <x v="0"/>
    <s v="E:\2 FOTO\1974 Mariaus vaikystė"/>
    <s v="2 FOTO\1974 Mariaus vaikystė"/>
    <s v="1974 Mariaus vaikystė"/>
    <s v=""/>
    <s v=""/>
    <s v=""/>
  </r>
  <r>
    <n v="687101"/>
    <n v="6.399126723408699E-4"/>
    <s v="Beverly Hills guma 001.jpg"/>
    <s v="E:\2 FOTO\1974 Mariaus vaikystė"/>
    <s v="2 FOTO"/>
    <x v="0"/>
    <x v="0"/>
    <x v="0"/>
    <s v="E:\2 FOTO\1974 Mariaus vaikystė"/>
    <s v="2 FOTO\1974 Mariaus vaikystė"/>
    <s v="1974 Mariaus vaikystė"/>
    <s v=""/>
    <s v=""/>
    <s v=""/>
  </r>
  <r>
    <n v="662864"/>
    <n v="6.1734020709991455E-4"/>
    <s v="Beverly Hills guma.jpg"/>
    <s v="E:\2 FOTO\1974 Mariaus vaikystė"/>
    <s v="2 FOTO"/>
    <x v="0"/>
    <x v="0"/>
    <x v="0"/>
    <s v="E:\2 FOTO\1974 Mariaus vaikystė"/>
    <s v="2 FOTO\1974 Mariaus vaikystė"/>
    <s v="1974 Mariaus vaikystė"/>
    <s v=""/>
    <s v=""/>
    <s v=""/>
  </r>
  <r>
    <n v="65536"/>
    <n v="6.103515625E-5"/>
    <s v="Thumbs.db"/>
    <s v="E:\2 FOTO\1974 Mariaus vaikystė"/>
    <s v="2 FOTO"/>
    <x v="0"/>
    <x v="0"/>
    <x v="0"/>
    <s v="E:\2 FOTO\1974 Mariaus vaikystė"/>
    <s v="2 FOTO\1974 Mariaus vaikystė"/>
    <s v="1974 Mariaus vaikystė"/>
    <s v=""/>
    <s v=""/>
    <s v=""/>
  </r>
  <r>
    <n v="215351"/>
    <n v="2.0056124776601791E-4"/>
    <s v="Genadijus su Cimbaliene.jpg"/>
    <s v="E:\2 FOTO\1974 Mariaus vaikystė\1948-1975 Genos"/>
    <s v="2 FOTO"/>
    <x v="0"/>
    <x v="1"/>
    <x v="0"/>
    <s v="E:\2 FOTO\1974 Mariaus vaikystė\1948-1975 Genos"/>
    <s v="2 FOTO\1974 Mariaus vaikystė\1948-1975 Genos"/>
    <s v="1974 Mariaus vaikystė\1948-1975 Genos"/>
    <s v="1948-1975 Genos"/>
    <s v=""/>
    <s v=""/>
  </r>
  <r>
    <n v="12808"/>
    <n v="1.1928379535675049E-5"/>
    <s v="Genadijus.jpg"/>
    <s v="E:\2 FOTO\1974 Mariaus vaikystė\1948-1975 Genos"/>
    <s v="2 FOTO"/>
    <x v="0"/>
    <x v="1"/>
    <x v="0"/>
    <s v="E:\2 FOTO\1974 Mariaus vaikystė\1948-1975 Genos"/>
    <s v="2 FOTO\1974 Mariaus vaikystė\1948-1975 Genos"/>
    <s v="1974 Mariaus vaikystė\1948-1975 Genos"/>
    <s v="1948-1975 Genos"/>
    <s v=""/>
    <s v=""/>
  </r>
  <r>
    <n v="255130"/>
    <n v="2.3760832846164703E-4"/>
    <s v="Stalinas.jpg"/>
    <s v="E:\2 FOTO\1974 Mariaus vaikystė\1948-1975 Genos"/>
    <s v="2 FOTO"/>
    <x v="0"/>
    <x v="1"/>
    <x v="0"/>
    <s v="E:\2 FOTO\1974 Mariaus vaikystė\1948-1975 Genos"/>
    <s v="2 FOTO\1974 Mariaus vaikystė\1948-1975 Genos"/>
    <s v="1974 Mariaus vaikystė\1948-1975 Genos"/>
    <s v="1948-1975 Genos"/>
    <s v=""/>
    <s v=""/>
  </r>
  <r>
    <n v="250368"/>
    <n v="2.3317337036132813E-4"/>
    <s v="Thumbs.db"/>
    <s v="E:\2 FOTO\1974 Mariaus vaikystė\1948-1975 Genos"/>
    <s v="2 FOTO"/>
    <x v="0"/>
    <x v="1"/>
    <x v="0"/>
    <s v="E:\2 FOTO\1974 Mariaus vaikystė\1948-1975 Genos"/>
    <s v="2 FOTO\1974 Mariaus vaikystė\1948-1975 Genos"/>
    <s v="1974 Mariaus vaikystė\1948-1975 Genos"/>
    <s v="1948-1975 Genos"/>
    <s v=""/>
    <s v=""/>
  </r>
  <r>
    <n v="171644"/>
    <n v="1.5985593199729919E-4"/>
    <s v="1968 02 13 Genadijus armijoje [antra puse].jpg"/>
    <s v="E:\2 FOTO\1974 Mariaus vaikystė\1948-1975 Genos\Armija"/>
    <s v="2 FOTO"/>
    <x v="0"/>
    <x v="1"/>
    <x v="1"/>
    <s v="E:\2 FOTO\1974 Mariaus vaikystė\1948-1975 Genos\Armija"/>
    <s v="2 FOTO\1974 Mariaus vaikystė\1948-1975 Genos\Armija"/>
    <s v="1974 Mariaus vaikystė\1948-1975 Genos\Armija"/>
    <s v="1948-1975 Genos\Armija"/>
    <s v="Armija"/>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Reikšmės" updatedVersion="6" minRefreshableVersion="3" useAutoFormatting="1" itemPrintTitles="1" createdVersion="6" indent="0" outline="1" outlineData="1" multipleFieldFilters="0">
  <location ref="A1:B3" firstHeaderRow="1" firstDataRow="1" firstDataCol="1"/>
  <pivotFields count="14">
    <pivotField numFmtId="3" showAll="0"/>
    <pivotField numFmtId="164" showAll="0"/>
    <pivotField dataField="1" showAll="0"/>
    <pivotField showAll="0" defaultSubtotal="0"/>
    <pivotField showAll="0" defaultSubtotal="0"/>
    <pivotField axis="axisRow" showAll="0" defaultSubtotal="0">
      <items count="31">
        <item sd="0" m="1" x="1"/>
        <item sd="0" x="0"/>
        <item sd="0" m="1" x="6"/>
        <item sd="0" m="1" x="25"/>
        <item sd="0" m="1" x="21"/>
        <item sd="0" m="1" x="29"/>
        <item sd="0" m="1" x="15"/>
        <item sd="0" m="1" x="10"/>
        <item sd="0" m="1" x="19"/>
        <item sd="0" m="1" x="12"/>
        <item m="1" x="30"/>
        <item sd="0" m="1" x="9"/>
        <item sd="0" m="1" x="4"/>
        <item sd="0" m="1" x="14"/>
        <item sd="0" m="1" x="26"/>
        <item sd="0" m="1" x="22"/>
        <item sd="0" m="1" x="20"/>
        <item m="1" x="16"/>
        <item sd="0" m="1" x="13"/>
        <item sd="0" m="1" x="7"/>
        <item sd="0" m="1" x="28"/>
        <item sd="0" m="1" x="3"/>
        <item sd="0" m="1" x="27"/>
        <item sd="0" m="1" x="8"/>
        <item sd="0" m="1" x="18"/>
        <item sd="0" m="1" x="5"/>
        <item sd="0" m="1" x="2"/>
        <item sd="0" m="1" x="24"/>
        <item sd="0" m="1" x="23"/>
        <item sd="0" m="1" x="17"/>
        <item sd="0" m="1" x="11"/>
      </items>
    </pivotField>
    <pivotField axis="axisRow" showAll="0" defaultSubtotal="0">
      <items count="213">
        <item x="0"/>
        <item sd="0" m="1" x="83"/>
        <item sd="0" x="1"/>
        <item sd="0" m="1" x="140"/>
        <item sd="0" m="1" x="50"/>
        <item sd="0" m="1" x="12"/>
        <item sd="0" m="1" x="44"/>
        <item sd="0" m="1" x="39"/>
        <item sd="0" m="1" x="67"/>
        <item sd="0" m="1" x="183"/>
        <item sd="0" m="1" x="131"/>
        <item sd="0" m="1" x="84"/>
        <item sd="0" m="1" x="93"/>
        <item sd="0" m="1" x="95"/>
        <item sd="0" m="1" x="41"/>
        <item sd="0" m="1" x="36"/>
        <item sd="0" m="1" x="38"/>
        <item sd="0" m="1" x="108"/>
        <item sd="0" m="1" x="19"/>
        <item sd="0" m="1" x="86"/>
        <item sd="0" m="1" x="97"/>
        <item sd="0" m="1" x="92"/>
        <item sd="0" m="1" x="7"/>
        <item sd="0" m="1" x="8"/>
        <item sd="0" m="1" x="5"/>
        <item sd="0" m="1" x="153"/>
        <item sd="0" m="1" x="11"/>
        <item m="1" x="55"/>
        <item sd="0" m="1" x="144"/>
        <item sd="0" m="1" x="101"/>
        <item sd="0" m="1" x="176"/>
        <item sd="0" m="1" x="106"/>
        <item m="1" x="179"/>
        <item sd="0" m="1" x="148"/>
        <item m="1" x="64"/>
        <item m="1" x="136"/>
        <item sd="0" m="1" x="186"/>
        <item sd="0" m="1" x="164"/>
        <item sd="0" m="1" x="71"/>
        <item sd="0" m="1" x="18"/>
        <item sd="0" m="1" x="49"/>
        <item sd="0" m="1" x="66"/>
        <item sd="0" m="1" x="125"/>
        <item sd="0" m="1" x="197"/>
        <item sd="0" m="1" x="147"/>
        <item sd="0" m="1" x="146"/>
        <item sd="0" m="1" x="46"/>
        <item sd="0" m="1" x="138"/>
        <item sd="0" m="1" x="201"/>
        <item sd="0" m="1" x="42"/>
        <item sd="0" m="1" x="98"/>
        <item sd="0" m="1" x="193"/>
        <item sd="0" m="1" x="175"/>
        <item sd="0" m="1" x="174"/>
        <item sd="0" m="1" x="23"/>
        <item sd="0" m="1" x="177"/>
        <item sd="0" m="1" x="129"/>
        <item sd="0" m="1" x="58"/>
        <item sd="0" m="1" x="156"/>
        <item sd="0" m="1" x="109"/>
        <item sd="0" m="1" x="121"/>
        <item sd="0" m="1" x="33"/>
        <item sd="0" m="1" x="26"/>
        <item sd="0" m="1" x="141"/>
        <item sd="0" m="1" x="34"/>
        <item sd="0" m="1" x="211"/>
        <item sd="0" m="1" x="116"/>
        <item sd="0" m="1" x="118"/>
        <item sd="0" m="1" x="160"/>
        <item sd="0" m="1" x="65"/>
        <item sd="0" m="1" x="199"/>
        <item sd="0" m="1" x="37"/>
        <item sd="0" m="1" x="80"/>
        <item sd="0" m="1" x="57"/>
        <item sd="0" m="1" x="157"/>
        <item sd="0" m="1" x="202"/>
        <item sd="0" m="1" x="70"/>
        <item sd="0" m="1" x="25"/>
        <item sd="0" m="1" x="171"/>
        <item sd="0" m="1" x="137"/>
        <item sd="0" m="1" x="119"/>
        <item sd="0" m="1" x="28"/>
        <item sd="0" m="1" x="181"/>
        <item sd="0" m="1" x="130"/>
        <item sd="0" m="1" x="74"/>
        <item sd="0" m="1" x="104"/>
        <item sd="0" m="1" x="16"/>
        <item sd="0" m="1" x="99"/>
        <item sd="0" m="1" x="40"/>
        <item sd="0" m="1" x="62"/>
        <item sd="0" m="1" x="31"/>
        <item sd="0" m="1" x="189"/>
        <item sd="0" m="1" x="190"/>
        <item sd="0" m="1" x="6"/>
        <item sd="0" m="1" x="113"/>
        <item sd="0" m="1" x="192"/>
        <item sd="0" m="1" x="14"/>
        <item sd="0" m="1" x="204"/>
        <item sd="0" m="1" x="51"/>
        <item sd="0" m="1" x="3"/>
        <item sd="0" m="1" x="172"/>
        <item sd="0" m="1" x="158"/>
        <item sd="0" m="1" x="155"/>
        <item sd="0" m="1" x="152"/>
        <item sd="0" m="1" x="120"/>
        <item sd="0" m="1" x="2"/>
        <item sd="0" m="1" x="154"/>
        <item sd="0" m="1" x="4"/>
        <item sd="0" m="1" x="87"/>
        <item sd="0" m="1" x="90"/>
        <item sd="0" m="1" x="207"/>
        <item sd="0" m="1" x="196"/>
        <item sd="0" m="1" x="13"/>
        <item sd="0" m="1" x="135"/>
        <item sd="0" m="1" x="103"/>
        <item sd="0" m="1" x="81"/>
        <item sd="0" m="1" x="142"/>
        <item sd="0" m="1" x="102"/>
        <item sd="0" m="1" x="35"/>
        <item sd="0" m="1" x="85"/>
        <item sd="0" m="1" x="198"/>
        <item sd="0" m="1" x="52"/>
        <item sd="0" m="1" x="149"/>
        <item sd="0" m="1" x="10"/>
        <item sd="0" m="1" x="9"/>
        <item sd="0" m="1" x="206"/>
        <item sd="0" m="1" x="22"/>
        <item sd="0" m="1" x="47"/>
        <item sd="0" m="1" x="105"/>
        <item sd="0" m="1" x="45"/>
        <item sd="0" m="1" x="21"/>
        <item sd="0" m="1" x="27"/>
        <item sd="0" m="1" x="72"/>
        <item sd="0" m="1" x="61"/>
        <item sd="0" m="1" x="73"/>
        <item sd="0" m="1" x="165"/>
        <item sd="0" m="1" x="167"/>
        <item sd="0" m="1" x="32"/>
        <item sd="0" m="1" x="145"/>
        <item sd="0" m="1" x="56"/>
        <item sd="0" m="1" x="69"/>
        <item sd="0" m="1" x="29"/>
        <item sd="0" m="1" x="17"/>
        <item sd="0" m="1" x="111"/>
        <item sd="0" m="1" x="182"/>
        <item sd="0" m="1" x="168"/>
        <item sd="0" m="1" x="159"/>
        <item sd="0" m="1" x="210"/>
        <item sd="0" m="1" x="187"/>
        <item sd="0" m="1" x="127"/>
        <item sd="0" m="1" x="54"/>
        <item sd="0" m="1" x="133"/>
        <item sd="0" m="1" x="126"/>
        <item sd="0" m="1" x="134"/>
        <item sd="0" m="1" x="205"/>
        <item sd="0" m="1" x="89"/>
        <item sd="0" m="1" x="143"/>
        <item sd="0" m="1" x="60"/>
        <item sd="0" m="1" x="88"/>
        <item sd="0" m="1" x="15"/>
        <item sd="0" m="1" x="139"/>
        <item sd="0" m="1" x="123"/>
        <item sd="0" m="1" x="162"/>
        <item sd="0" m="1" x="150"/>
        <item sd="0" m="1" x="77"/>
        <item sd="0" m="1" x="79"/>
        <item sd="0" m="1" x="185"/>
        <item sd="0" m="1" x="194"/>
        <item sd="0" m="1" x="178"/>
        <item sd="0" m="1" x="212"/>
        <item sd="0" m="1" x="43"/>
        <item sd="0" m="1" x="209"/>
        <item sd="0" m="1" x="53"/>
        <item sd="0" m="1" x="161"/>
        <item sd="0" m="1" x="63"/>
        <item sd="0" m="1" x="75"/>
        <item sd="0" m="1" x="195"/>
        <item sd="0" m="1" x="191"/>
        <item sd="0" m="1" x="122"/>
        <item sd="0" m="1" x="124"/>
        <item sd="0" m="1" x="151"/>
        <item sd="0" m="1" x="110"/>
        <item sd="0" m="1" x="112"/>
        <item sd="0" m="1" x="117"/>
        <item sd="0" m="1" x="94"/>
        <item sd="0" m="1" x="200"/>
        <item sd="0" m="1" x="96"/>
        <item sd="0" m="1" x="20"/>
        <item sd="0" m="1" x="30"/>
        <item sd="0" m="1" x="163"/>
        <item sd="0" m="1" x="188"/>
        <item sd="0" m="1" x="82"/>
        <item sd="0" m="1" x="59"/>
        <item sd="0" m="1" x="180"/>
        <item sd="0" m="1" x="78"/>
        <item sd="0" m="1" x="169"/>
        <item sd="0" m="1" x="48"/>
        <item sd="0" m="1" x="107"/>
        <item sd="0" m="1" x="132"/>
        <item sd="0" m="1" x="91"/>
        <item sd="0" m="1" x="166"/>
        <item sd="0" m="1" x="203"/>
        <item sd="0" m="1" x="76"/>
        <item sd="0" m="1" x="170"/>
        <item sd="0" m="1" x="68"/>
        <item sd="0" m="1" x="128"/>
        <item sd="0" m="1" x="184"/>
        <item sd="0" m="1" x="114"/>
        <item sd="0" m="1" x="173"/>
        <item sd="0" m="1" x="208"/>
        <item sd="0" m="1" x="24"/>
        <item sd="0" m="1" x="115"/>
        <item sd="0" m="1" x="100"/>
      </items>
    </pivotField>
    <pivotField axis="axisRow" showAll="0" defaultSubtotal="0">
      <items count="104">
        <item x="0"/>
        <item m="1" x="8"/>
        <item m="1" x="99"/>
        <item m="1" x="31"/>
        <item m="1" x="4"/>
        <item m="1" x="94"/>
        <item m="1" x="66"/>
        <item m="1" x="57"/>
        <item m="1" x="35"/>
        <item m="1" x="56"/>
        <item m="1" x="30"/>
        <item m="1" x="53"/>
        <item m="1" x="20"/>
        <item m="1" x="28"/>
        <item m="1" x="41"/>
        <item m="1" x="52"/>
        <item m="1" x="29"/>
        <item m="1" x="47"/>
        <item m="1" x="43"/>
        <item m="1" x="82"/>
        <item m="1" x="17"/>
        <item m="1" x="67"/>
        <item m="1" x="45"/>
        <item m="1" x="100"/>
        <item m="1" x="72"/>
        <item m="1" x="36"/>
        <item m="1" x="80"/>
        <item m="1" x="59"/>
        <item m="1" x="22"/>
        <item m="1" x="74"/>
        <item m="1" x="79"/>
        <item m="1" x="64"/>
        <item m="1" x="103"/>
        <item m="1" x="11"/>
        <item m="1" x="16"/>
        <item m="1" x="15"/>
        <item m="1" x="10"/>
        <item m="1" x="23"/>
        <item m="1" x="87"/>
        <item m="1" x="3"/>
        <item m="1" x="42"/>
        <item m="1" x="9"/>
        <item m="1" x="40"/>
        <item m="1" x="51"/>
        <item m="1" x="61"/>
        <item m="1" x="83"/>
        <item m="1" x="81"/>
        <item m="1" x="85"/>
        <item m="1" x="27"/>
        <item m="1" x="76"/>
        <item m="1" x="101"/>
        <item m="1" x="37"/>
        <item m="1" x="14"/>
        <item m="1" x="38"/>
        <item m="1" x="48"/>
        <item m="1" x="19"/>
        <item m="1" x="86"/>
        <item m="1" x="70"/>
        <item m="1" x="75"/>
        <item x="1"/>
        <item m="1" x="7"/>
        <item m="1" x="71"/>
        <item m="1" x="6"/>
        <item m="1" x="92"/>
        <item m="1" x="63"/>
        <item m="1" x="32"/>
        <item m="1" x="18"/>
        <item m="1" x="73"/>
        <item m="1" x="95"/>
        <item m="1" x="44"/>
        <item m="1" x="39"/>
        <item m="1" x="97"/>
        <item m="1" x="13"/>
        <item m="1" x="69"/>
        <item m="1" x="84"/>
        <item m="1" x="49"/>
        <item m="1" x="102"/>
        <item m="1" x="26"/>
        <item m="1" x="2"/>
        <item m="1" x="68"/>
        <item m="1" x="90"/>
        <item m="1" x="54"/>
        <item m="1" x="25"/>
        <item m="1" x="34"/>
        <item m="1" x="46"/>
        <item m="1" x="12"/>
        <item m="1" x="62"/>
        <item m="1" x="55"/>
        <item m="1" x="5"/>
        <item m="1" x="78"/>
        <item m="1" x="77"/>
        <item m="1" x="98"/>
        <item m="1" x="24"/>
        <item m="1" x="89"/>
        <item m="1" x="65"/>
        <item m="1" x="93"/>
        <item m="1" x="33"/>
        <item m="1" x="50"/>
        <item m="1" x="60"/>
        <item m="1" x="58"/>
        <item m="1" x="21"/>
        <item m="1" x="91"/>
        <item m="1" x="96"/>
        <item m="1" x="88"/>
      </items>
    </pivotField>
    <pivotField showAll="0" defaultSubtotal="0"/>
    <pivotField showAll="0" defaultSubtotal="0"/>
    <pivotField showAll="0" defaultSubtotal="0"/>
    <pivotField showAll="0" defaultSubtotal="0"/>
    <pivotField showAll="0" defaultSubtotal="0"/>
    <pivotField showAll="0" defaultSubtotal="0"/>
  </pivotFields>
  <rowFields count="3">
    <field x="5"/>
    <field x="6"/>
    <field x="7"/>
  </rowFields>
  <rowItems count="2">
    <i>
      <x v="1"/>
    </i>
    <i t="grand">
      <x/>
    </i>
  </rowItems>
  <colItems count="1">
    <i/>
  </colItems>
  <dataFields count="1">
    <dataField name="Skaičiuoti iš Failas" fld="2" subtotal="count" baseField="7" baseItem="3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uomenųFiltras_Katalogas3" sourceName="Kat2">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uomenųFiltras_Katalogas4" sourceName="Kat3">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uomenųFiltras_Katalogas5" sourceName="Kat4">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atalogas3" cache="DuomenųFiltras_Katalogas3" caption="Kat2" rowHeight="216000"/>
  <slicer name="Katalogas4" cache="DuomenųFiltras_Katalogas4" caption="Kat3" rowHeight="216000"/>
  <slicer name="Katalogas5" cache="DuomenųFiltras_Katalogas5" caption="Kat4" rowHeight="216000"/>
</slicers>
</file>

<file path=xl/tables/table1.xml><?xml version="1.0" encoding="utf-8"?>
<table xmlns="http://schemas.openxmlformats.org/spreadsheetml/2006/main" id="1" name="Lentelė1" displayName="Lentelė1" ref="A2:B1001" totalsRowShown="0">
  <autoFilter ref="A2:B1001"/>
  <tableColumns count="2">
    <tableColumn id="1" name="Nr." dataDxfId="30"/>
    <tableColumn id="2" name="Failai"/>
  </tableColumns>
  <tableStyleInfo name="TableStyleLight8" showFirstColumn="0" showLastColumn="0" showRowStripes="1" showColumnStripes="0"/>
</table>
</file>

<file path=xl/tables/table2.xml><?xml version="1.0" encoding="utf-8"?>
<table xmlns="http://schemas.openxmlformats.org/spreadsheetml/2006/main" id="2" name="Lentelė2" displayName="Lentelė2" ref="A4:N13">
  <autoFilter ref="A4:N13"/>
  <tableColumns count="14">
    <tableColumn id="1" name="Dydis (baitais)" dataDxfId="28"/>
    <tableColumn id="9" name="Dydis GB" dataDxfId="27">
      <calculatedColumnFormula>Lentelė2[[#This Row],[Dydis (baitais)]]/1024^3</calculatedColumnFormula>
    </tableColumn>
    <tableColumn id="2" name="Failas"/>
    <tableColumn id="3" name="Katalogas bendras" dataDxfId="26" totalsRowDxfId="25"/>
    <tableColumn id="14" name="Kat1" dataDxfId="24" totalsRowDxfId="23">
      <calculatedColumnFormula>IF(ISERROR(SEARCH("\",Lentelė2[[#This Row],[Path1]])),Lentelė2[[#This Row],[Path1]],
LEFT(Lentelė2[[#This Row],[Path1]],LEN(Lentelė2[[#This Row],[Path1]])-LEN(Lentelė2[[#This Row],[Path2]])-1))</calculatedColumnFormula>
    </tableColumn>
    <tableColumn id="4" name="Kat2" dataDxfId="22" totalsRowDxfId="21">
      <calculatedColumnFormula>IF(ISERROR(SEARCH("\",Lentelė2[[#This Row],[Path2]])),Lentelė2[[#This Row],[Path2]],
LEFT(Lentelė2[[#This Row],[Path2]],LEN(Lentelė2[[#This Row],[Path2]])-LEN(Lentelė2[[#This Row],[Path3]])-1))</calculatedColumnFormula>
    </tableColumn>
    <tableColumn id="5" name="Kat3" dataDxfId="20" totalsRowDxfId="19">
      <calculatedColumnFormula>IF(ISERROR(SEARCH("\",Lentelė2[[#This Row],[Path3]])),Lentelė2[[#This Row],[Path3]],
LEFT(Lentelė2[[#This Row],[Path3]],LEN(Lentelė2[[#This Row],[Path3]])-LEN(Lentelė2[[#This Row],[Path4]])-1))</calculatedColumnFormula>
    </tableColumn>
    <tableColumn id="6" name="Kat4" dataDxfId="18">
      <calculatedColumnFormula>IF(ISERROR(SEARCH("\",Lentelė2[[#This Row],[Path4]])),Lentelė2[[#This Row],[Path4]],
LEFT(Lentelė2[[#This Row],[Path4]],LEN(Lentelė2[[#This Row],[Path4]])-LEN(Lentelė2[[#This Row],[Path5]])-1))</calculatedColumnFormula>
    </tableColumn>
    <tableColumn id="12" name="Path0" dataDxfId="17" totalsRowDxfId="16">
      <calculatedColumnFormula>Lentelė2[[#This Row],[Katalogas bendras]]</calculatedColumnFormula>
    </tableColumn>
    <tableColumn id="7" name="Path1" dataDxfId="15" totalsRowDxfId="14">
      <calculatedColumnFormula>IF(ISERROR(SEARCH("\",Lentelė2[[#This Row],[Path0]])),"",RIGHT(Lentelė2[[#This Row],[Path0]],LEN(Lentelė2[[#This Row],[Path0]])-SEARCH("\",Lentelė2[[#This Row],[Path0]])))</calculatedColumnFormula>
    </tableColumn>
    <tableColumn id="8" name="Path2" dataDxfId="13" totalsRowDxfId="12">
      <calculatedColumnFormula>IF(ISERROR(SEARCH("\",Lentelė2[[#This Row],[Path1]])),"",RIGHT(Lentelė2[[#This Row],[Path1]],LEN(Lentelė2[[#This Row],[Path1]])-SEARCH("\",Lentelė2[[#This Row],[Path1]])))</calculatedColumnFormula>
    </tableColumn>
    <tableColumn id="10" name="Path3" dataDxfId="11" totalsRowDxfId="10">
      <calculatedColumnFormula>IF(ISERROR(SEARCH("\",Lentelė2[[#This Row],[Path2]])),"",RIGHT(Lentelė2[[#This Row],[Path2]],LEN(Lentelė2[[#This Row],[Path2]])-SEARCH("\",Lentelė2[[#This Row],[Path2]])))</calculatedColumnFormula>
    </tableColumn>
    <tableColumn id="11" name="Path4" dataDxfId="9" totalsRowDxfId="8">
      <calculatedColumnFormula>IF(ISERROR(SEARCH("\",Lentelė2[[#This Row],[Path3]])),"",RIGHT(Lentelė2[[#This Row],[Path3]],LEN(Lentelė2[[#This Row],[Path3]])-SEARCH("\",Lentelė2[[#This Row],[Path3]])))</calculatedColumnFormula>
    </tableColumn>
    <tableColumn id="13" name="Path5" dataDxfId="7" totalsRowDxfId="6">
      <calculatedColumnFormula>IF(ISERROR(SEARCH("\",Lentelė2[[#This Row],[Path4]])),"",RIGHT(Lentelė2[[#This Row],[Path4]],LEN(Lentelė2[[#This Row],[Path4]])-SEARCH("\",Lentelė2[[#This Row],[Path4]])))</calculatedColumnFormula>
    </tableColumn>
  </tableColumns>
  <tableStyleInfo name="TableStyleLight12" showFirstColumn="0" showLastColumn="0" showRowStripes="0" showColumnStripes="0"/>
</table>
</file>

<file path=xl/tables/table3.xml><?xml version="1.0" encoding="utf-8"?>
<table xmlns="http://schemas.openxmlformats.org/spreadsheetml/2006/main" id="3" name="Lentelė14" displayName="Lentelė14" ref="A3:D103" totalsRowShown="0">
  <autoFilter ref="A3:D103"/>
  <tableColumns count="4">
    <tableColumn id="1" name="Stulpelis1" dataDxfId="3">
      <calculatedColumnFormula>ROW()-3</calculatedColumnFormula>
    </tableColumn>
    <tableColumn id="2" name="Stulpelis2" dataDxfId="2"/>
    <tableColumn id="3" name="1" dataDxfId="1">
      <calculatedColumnFormula>C3*2</calculatedColumnFormula>
    </tableColumn>
    <tableColumn id="4" name="Stulpelis3"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file:///E:\E-knygos%20(mp3%20ir%20pdf)\ePUB%20ir%20kiti%20knyg&#371;%20formatai\Fantastikos.Pack.LT.PDF" TargetMode="External"/><Relationship Id="rId7" Type="http://schemas.openxmlformats.org/officeDocument/2006/relationships/printerSettings" Target="../printerSettings/printerSettings3.bin"/><Relationship Id="rId2" Type="http://schemas.openxmlformats.org/officeDocument/2006/relationships/hyperlink" Target="file:///E:\E-knygos%20(mp3%20ir%20pdf)\ePUB%20ir%20kiti%20knyg&#371;%20formatai\Arthur.Conan.Doyle.-.Rinktiniai.rastai.10.tomu.1993.LT.PDF.EPUB" TargetMode="External"/><Relationship Id="rId1" Type="http://schemas.openxmlformats.org/officeDocument/2006/relationships/hyperlink" Target="file:///E:\E-knygos%20(mp3%20ir%20pdf)\ePUB%20ir%20kiti%20knyg&#371;%20formatai" TargetMode="External"/><Relationship Id="rId6" Type="http://schemas.openxmlformats.org/officeDocument/2006/relationships/hyperlink" Target="file:///E:\E-knygos%20(mp3%20ir%20pdf)\ePUB%20ir%20kiti%20knyg&#371;%20formatai\Knyg&#371;,%20lietuvi&#371;%20kalba,%20rinkinys%20%5bePub%5d-LM" TargetMode="External"/><Relationship Id="rId11" Type="http://schemas.openxmlformats.org/officeDocument/2006/relationships/table" Target="../tables/table1.xml"/><Relationship Id="rId5" Type="http://schemas.openxmlformats.org/officeDocument/2006/relationships/hyperlink" Target="file:///E:\E-knygos%20(mp3%20ir%20pdf)\ePUB%20ir%20kiti%20knyg&#371;%20formatai\Knygos.lietuviu.kalba.EPUB.pack" TargetMode="External"/><Relationship Id="rId10" Type="http://schemas.openxmlformats.org/officeDocument/2006/relationships/ctrlProp" Target="../ctrlProps/ctrlProp1.xml"/><Relationship Id="rId4" Type="http://schemas.openxmlformats.org/officeDocument/2006/relationships/hyperlink" Target="file:///E:\E-knygos%20(mp3%20ir%20pdf)\ePUB%20ir%20kiti%20knyg&#371;%20formatai\Ivairios.knygos.lietuviskai.LT.EPUB.pack"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07/relationships/slicer" Target="../slicers/slicer1.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11" Type="http://schemas.openxmlformats.org/officeDocument/2006/relationships/comments" Target="../comments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image" Target="../media/image2.emf"/></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2"/>
  <sheetViews>
    <sheetView tabSelected="1" zoomScaleNormal="100" workbookViewId="0">
      <pane ySplit="3" topLeftCell="A34" activePane="bottomLeft" state="frozen"/>
      <selection pane="bottomLeft" activeCell="A52" sqref="A52"/>
    </sheetView>
  </sheetViews>
  <sheetFormatPr defaultRowHeight="15"/>
  <cols>
    <col min="1" max="1" width="40.140625" bestFit="1" customWidth="1"/>
    <col min="2" max="2" width="43.7109375" bestFit="1" customWidth="1"/>
  </cols>
  <sheetData>
    <row r="1" spans="1:2" ht="15.75">
      <c r="A1" s="27" t="s">
        <v>346</v>
      </c>
      <c r="B1" s="27"/>
    </row>
    <row r="2" spans="1:2">
      <c r="B2" t="s">
        <v>343</v>
      </c>
    </row>
    <row r="3" spans="1:2">
      <c r="A3" s="2" t="s">
        <v>238</v>
      </c>
      <c r="B3" s="2" t="s">
        <v>239</v>
      </c>
    </row>
    <row r="4" spans="1:2" s="3" customFormat="1">
      <c r="A4" s="20" t="s">
        <v>2</v>
      </c>
      <c r="B4" s="3" t="s">
        <v>0</v>
      </c>
    </row>
    <row r="5" spans="1:2" s="5" customFormat="1">
      <c r="A5" s="21" t="s">
        <v>1</v>
      </c>
      <c r="B5" s="5" t="s">
        <v>236</v>
      </c>
    </row>
    <row r="6" spans="1:2" s="6" customFormat="1">
      <c r="A6" s="22"/>
    </row>
    <row r="7" spans="1:2" s="3" customFormat="1">
      <c r="A7" s="20" t="s">
        <v>237</v>
      </c>
      <c r="B7" s="3" t="s">
        <v>242</v>
      </c>
    </row>
    <row r="8" spans="1:2" s="5" customFormat="1">
      <c r="A8" s="46" t="s">
        <v>240</v>
      </c>
      <c r="B8" s="5" t="s">
        <v>578</v>
      </c>
    </row>
    <row r="9" spans="1:2" s="5" customFormat="1">
      <c r="A9" s="46" t="s">
        <v>200</v>
      </c>
      <c r="B9" s="7" t="s">
        <v>254</v>
      </c>
    </row>
    <row r="10" spans="1:2" s="5" customFormat="1">
      <c r="A10" s="46" t="s">
        <v>241</v>
      </c>
      <c r="B10" s="7" t="s">
        <v>255</v>
      </c>
    </row>
    <row r="11" spans="1:2" s="5" customFormat="1">
      <c r="A11" s="46" t="s">
        <v>281</v>
      </c>
      <c r="B11" s="7" t="s">
        <v>589</v>
      </c>
    </row>
    <row r="12" spans="1:2" s="5" customFormat="1">
      <c r="A12" s="47" t="s">
        <v>562</v>
      </c>
      <c r="B12" s="7" t="s">
        <v>579</v>
      </c>
    </row>
    <row r="13" spans="1:2" s="5" customFormat="1">
      <c r="A13" s="47" t="s">
        <v>561</v>
      </c>
      <c r="B13" s="7" t="s">
        <v>566</v>
      </c>
    </row>
    <row r="14" spans="1:2" s="5" customFormat="1">
      <c r="A14" s="47" t="s">
        <v>560</v>
      </c>
      <c r="B14" s="7" t="s">
        <v>565</v>
      </c>
    </row>
    <row r="15" spans="1:2" s="5" customFormat="1">
      <c r="A15" s="51" t="s">
        <v>569</v>
      </c>
      <c r="B15" s="7" t="s">
        <v>570</v>
      </c>
    </row>
    <row r="16" spans="1:2" s="5" customFormat="1">
      <c r="A16" s="51" t="s">
        <v>567</v>
      </c>
      <c r="B16" s="5" t="s">
        <v>568</v>
      </c>
    </row>
    <row r="17" spans="1:2" s="5" customFormat="1">
      <c r="A17" s="47"/>
    </row>
    <row r="18" spans="1:2" s="3" customFormat="1">
      <c r="A18" s="20" t="s">
        <v>334</v>
      </c>
      <c r="B18" s="49" t="s">
        <v>336</v>
      </c>
    </row>
    <row r="19" spans="1:2" s="5" customFormat="1">
      <c r="A19" s="47" t="s">
        <v>335</v>
      </c>
      <c r="B19" s="7" t="s">
        <v>337</v>
      </c>
    </row>
    <row r="20" spans="1:2" s="5" customFormat="1">
      <c r="A20" s="47"/>
    </row>
    <row r="21" spans="1:2" s="6" customFormat="1">
      <c r="A21" s="50"/>
    </row>
    <row r="22" spans="1:2" s="3" customFormat="1">
      <c r="A22" s="20" t="s">
        <v>324</v>
      </c>
      <c r="B22" s="3" t="s">
        <v>327</v>
      </c>
    </row>
    <row r="23" spans="1:2" s="5" customFormat="1">
      <c r="A23" s="24" t="s">
        <v>323</v>
      </c>
      <c r="B23" s="7" t="s">
        <v>328</v>
      </c>
    </row>
    <row r="24" spans="1:2" s="5" customFormat="1">
      <c r="A24" s="24" t="s">
        <v>323</v>
      </c>
      <c r="B24" s="7" t="s">
        <v>328</v>
      </c>
    </row>
    <row r="25" spans="1:2" s="5" customFormat="1">
      <c r="A25" s="21" t="s">
        <v>325</v>
      </c>
    </row>
    <row r="26" spans="1:2" s="5" customFormat="1">
      <c r="A26" s="21" t="s">
        <v>250</v>
      </c>
    </row>
    <row r="27" spans="1:2" s="6" customFormat="1">
      <c r="A27" s="23"/>
    </row>
    <row r="28" spans="1:2" s="3" customFormat="1">
      <c r="A28" s="20" t="s">
        <v>251</v>
      </c>
      <c r="B28" s="3" t="s">
        <v>327</v>
      </c>
    </row>
    <row r="29" spans="1:2" s="5" customFormat="1">
      <c r="A29" s="24" t="s">
        <v>332</v>
      </c>
      <c r="B29" s="5" t="s">
        <v>330</v>
      </c>
    </row>
    <row r="30" spans="1:2" s="5" customFormat="1">
      <c r="A30" s="24" t="s">
        <v>333</v>
      </c>
      <c r="B30" s="5" t="s">
        <v>331</v>
      </c>
    </row>
    <row r="31" spans="1:2" s="5" customFormat="1">
      <c r="A31" s="24" t="s">
        <v>326</v>
      </c>
    </row>
    <row r="32" spans="1:2" s="5" customFormat="1">
      <c r="A32" s="21" t="s">
        <v>252</v>
      </c>
    </row>
    <row r="33" spans="1:2" s="6" customFormat="1">
      <c r="A33" s="23"/>
    </row>
    <row r="34" spans="1:2" s="3" customFormat="1">
      <c r="A34" s="20" t="s">
        <v>322</v>
      </c>
      <c r="B34" s="3" t="s">
        <v>245</v>
      </c>
    </row>
    <row r="35" spans="1:2" s="5" customFormat="1">
      <c r="A35" s="24" t="s">
        <v>253</v>
      </c>
    </row>
    <row r="36" spans="1:2" s="5" customFormat="1">
      <c r="A36" s="24" t="s">
        <v>379</v>
      </c>
      <c r="B36" s="5" t="s">
        <v>811</v>
      </c>
    </row>
    <row r="37" spans="1:2" s="5" customFormat="1">
      <c r="A37" s="21" t="s">
        <v>243</v>
      </c>
      <c r="B37" s="5" t="s">
        <v>246</v>
      </c>
    </row>
    <row r="38" spans="1:2" s="6" customFormat="1">
      <c r="A38" s="22"/>
    </row>
    <row r="39" spans="1:2" s="3" customFormat="1">
      <c r="A39" s="20" t="s">
        <v>247</v>
      </c>
      <c r="B39" s="3" t="s">
        <v>249</v>
      </c>
    </row>
    <row r="40" spans="1:2" s="5" customFormat="1">
      <c r="A40" s="24" t="s">
        <v>253</v>
      </c>
    </row>
    <row r="41" spans="1:2" s="5" customFormat="1">
      <c r="A41" s="24" t="s">
        <v>812</v>
      </c>
      <c r="B41" s="5" t="s">
        <v>811</v>
      </c>
    </row>
    <row r="42" spans="1:2" s="5" customFormat="1">
      <c r="A42" s="21" t="s">
        <v>248</v>
      </c>
      <c r="B42" s="5" t="s">
        <v>244</v>
      </c>
    </row>
    <row r="43" spans="1:2" s="6" customFormat="1">
      <c r="A43" s="22"/>
    </row>
    <row r="44" spans="1:2" s="3" customFormat="1">
      <c r="A44" s="20" t="s">
        <v>344</v>
      </c>
      <c r="B44" s="3" t="s">
        <v>338</v>
      </c>
    </row>
    <row r="45" spans="1:2" s="5" customFormat="1">
      <c r="A45" s="21" t="s">
        <v>345</v>
      </c>
      <c r="B45" s="5" t="s">
        <v>338</v>
      </c>
    </row>
    <row r="46" spans="1:2" s="5" customFormat="1">
      <c r="A46" s="48"/>
    </row>
    <row r="47" spans="1:2" s="3" customFormat="1">
      <c r="A47" s="110" t="s">
        <v>506</v>
      </c>
      <c r="B47" s="111"/>
    </row>
    <row r="48" spans="1:2" s="5" customFormat="1">
      <c r="A48" s="21" t="s">
        <v>339</v>
      </c>
      <c r="B48" s="7" t="s">
        <v>342</v>
      </c>
    </row>
    <row r="49" spans="1:2" s="5" customFormat="1">
      <c r="A49" s="21" t="s">
        <v>341</v>
      </c>
      <c r="B49" s="5" t="s">
        <v>340</v>
      </c>
    </row>
    <row r="50" spans="1:2" s="6" customFormat="1">
      <c r="A50" s="23"/>
    </row>
    <row r="52" spans="1:2">
      <c r="A52" s="25" t="s">
        <v>814</v>
      </c>
      <c r="B52" t="s">
        <v>815</v>
      </c>
    </row>
    <row r="53" spans="1:2">
      <c r="A53" s="25"/>
    </row>
    <row r="54" spans="1:2">
      <c r="A54" s="25"/>
    </row>
    <row r="55" spans="1:2" s="11" customFormat="1">
      <c r="A55" s="11" t="s">
        <v>329</v>
      </c>
    </row>
    <row r="56" spans="1:2">
      <c r="A56" s="25"/>
    </row>
    <row r="57" spans="1:2">
      <c r="A57" s="25"/>
    </row>
    <row r="58" spans="1:2">
      <c r="A58" s="25"/>
    </row>
    <row r="59" spans="1:2">
      <c r="A59" s="25"/>
    </row>
    <row r="60" spans="1:2">
      <c r="A60" s="25"/>
    </row>
    <row r="61" spans="1:2">
      <c r="A61" s="25"/>
    </row>
    <row r="62" spans="1:2">
      <c r="A62" s="25"/>
    </row>
    <row r="63" spans="1:2">
      <c r="A63" s="25"/>
    </row>
    <row r="64" spans="1:2">
      <c r="A64" s="25"/>
    </row>
    <row r="65" spans="1:1">
      <c r="A65" s="25"/>
    </row>
    <row r="66" spans="1:1">
      <c r="A66" s="25"/>
    </row>
    <row r="67" spans="1:1">
      <c r="A67" s="25"/>
    </row>
    <row r="68" spans="1:1">
      <c r="A68" s="25"/>
    </row>
    <row r="69" spans="1:1">
      <c r="A69" s="25"/>
    </row>
    <row r="70" spans="1:1">
      <c r="A70" s="25"/>
    </row>
    <row r="71" spans="1:1">
      <c r="A71" s="25"/>
    </row>
    <row r="72" spans="1:1">
      <c r="A72" s="25"/>
    </row>
    <row r="73" spans="1:1">
      <c r="A73" s="25"/>
    </row>
    <row r="74" spans="1:1">
      <c r="A74" s="25"/>
    </row>
    <row r="75" spans="1:1">
      <c r="A75" s="25"/>
    </row>
    <row r="76" spans="1:1">
      <c r="A76" s="25"/>
    </row>
    <row r="77" spans="1:1">
      <c r="A77" s="25"/>
    </row>
    <row r="78" spans="1:1">
      <c r="A78" s="25"/>
    </row>
    <row r="79" spans="1:1">
      <c r="A79" s="25"/>
    </row>
    <row r="80" spans="1:1">
      <c r="A80" s="25"/>
    </row>
    <row r="81" spans="1:1">
      <c r="A81" s="25"/>
    </row>
    <row r="82" spans="1:1">
      <c r="A82" s="25"/>
    </row>
    <row r="83" spans="1:1">
      <c r="A83" s="25"/>
    </row>
    <row r="84" spans="1:1">
      <c r="A84" s="25"/>
    </row>
    <row r="85" spans="1:1">
      <c r="A85" s="25"/>
    </row>
    <row r="86" spans="1:1">
      <c r="A86" s="25"/>
    </row>
    <row r="87" spans="1:1">
      <c r="A87" s="25"/>
    </row>
    <row r="88" spans="1:1">
      <c r="A88" s="25"/>
    </row>
    <row r="89" spans="1:1">
      <c r="A89" s="25"/>
    </row>
    <row r="90" spans="1:1">
      <c r="A90" s="25"/>
    </row>
    <row r="91" spans="1:1">
      <c r="A91" s="25"/>
    </row>
    <row r="92" spans="1:1">
      <c r="A92" s="25"/>
    </row>
    <row r="93" spans="1:1">
      <c r="A93" s="25"/>
    </row>
    <row r="94" spans="1:1">
      <c r="A94" s="25"/>
    </row>
    <row r="95" spans="1:1">
      <c r="A95" s="25"/>
    </row>
    <row r="96" spans="1:1">
      <c r="A96" s="25"/>
    </row>
    <row r="97" spans="1:1">
      <c r="A97" s="25"/>
    </row>
    <row r="98" spans="1:1">
      <c r="A98" s="25"/>
    </row>
    <row r="99" spans="1:1">
      <c r="A99" s="25"/>
    </row>
    <row r="100" spans="1:1">
      <c r="A100" s="25"/>
    </row>
    <row r="101" spans="1:1">
      <c r="A101" s="25"/>
    </row>
    <row r="102" spans="1:1">
      <c r="A102" s="25"/>
    </row>
  </sheetData>
  <mergeCells count="1">
    <mergeCell ref="A47:B47"/>
  </mergeCells>
  <pageMargins left="0.17" right="0.17" top="0.32" bottom="0.25" header="0.17" footer="0.17"/>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83"/>
  <sheetViews>
    <sheetView zoomScaleNormal="100" workbookViewId="0">
      <pane ySplit="3" topLeftCell="A7" activePane="bottomLeft" state="frozen"/>
      <selection pane="bottomLeft" activeCell="A32" sqref="A32"/>
    </sheetView>
  </sheetViews>
  <sheetFormatPr defaultColWidth="9.140625" defaultRowHeight="15"/>
  <cols>
    <col min="1" max="1" width="66.7109375" style="5" bestFit="1" customWidth="1"/>
    <col min="2" max="2" width="49.7109375" style="5" customWidth="1"/>
    <col min="3" max="3" width="23.85546875" style="44" bestFit="1" customWidth="1"/>
    <col min="4" max="16384" width="9.140625" style="5"/>
  </cols>
  <sheetData>
    <row r="1" spans="1:3" ht="15.75">
      <c r="A1" s="27" t="s">
        <v>346</v>
      </c>
      <c r="B1" s="28"/>
      <c r="C1" s="43"/>
    </row>
    <row r="2" spans="1:3">
      <c r="B2" s="5" t="s">
        <v>343</v>
      </c>
    </row>
    <row r="3" spans="1:3">
      <c r="A3" s="29" t="s">
        <v>238</v>
      </c>
      <c r="B3" s="29" t="s">
        <v>239</v>
      </c>
      <c r="C3" s="45" t="s">
        <v>548</v>
      </c>
    </row>
    <row r="4" spans="1:3">
      <c r="A4" s="31" t="s">
        <v>552</v>
      </c>
      <c r="B4" s="31"/>
    </row>
    <row r="5" spans="1:3">
      <c r="A5" s="30" t="s">
        <v>549</v>
      </c>
      <c r="B5" s="5" t="s">
        <v>551</v>
      </c>
    </row>
    <row r="6" spans="1:3">
      <c r="A6" s="30" t="s">
        <v>526</v>
      </c>
      <c r="B6" s="5" t="s">
        <v>550</v>
      </c>
    </row>
    <row r="7" spans="1:3">
      <c r="A7" s="30" t="s">
        <v>527</v>
      </c>
      <c r="B7" s="7" t="s">
        <v>537</v>
      </c>
      <c r="C7" s="44">
        <v>1</v>
      </c>
    </row>
    <row r="8" spans="1:3">
      <c r="A8" s="30" t="s">
        <v>528</v>
      </c>
      <c r="B8" s="7" t="s">
        <v>538</v>
      </c>
      <c r="C8" s="44">
        <v>2</v>
      </c>
    </row>
    <row r="9" spans="1:3">
      <c r="A9" s="31" t="s">
        <v>553</v>
      </c>
      <c r="B9" s="31"/>
    </row>
    <row r="10" spans="1:3">
      <c r="A10" s="61" t="s">
        <v>542</v>
      </c>
      <c r="B10" s="38"/>
    </row>
    <row r="11" spans="1:3">
      <c r="A11" s="33" t="s">
        <v>524</v>
      </c>
      <c r="B11" s="34" t="s">
        <v>544</v>
      </c>
      <c r="C11" s="44" t="s">
        <v>493</v>
      </c>
    </row>
    <row r="12" spans="1:3">
      <c r="A12" s="33" t="s">
        <v>543</v>
      </c>
      <c r="B12" s="34" t="s">
        <v>545</v>
      </c>
    </row>
    <row r="13" spans="1:3">
      <c r="A13" s="35" t="s">
        <v>647</v>
      </c>
      <c r="B13" s="42" t="s">
        <v>648</v>
      </c>
    </row>
    <row r="14" spans="1:3">
      <c r="A14" s="30" t="s">
        <v>507</v>
      </c>
      <c r="B14" s="7" t="s">
        <v>512</v>
      </c>
    </row>
    <row r="15" spans="1:3">
      <c r="A15" s="30" t="s">
        <v>508</v>
      </c>
      <c r="B15" s="5" t="s">
        <v>510</v>
      </c>
    </row>
    <row r="16" spans="1:3">
      <c r="A16" s="30" t="s">
        <v>509</v>
      </c>
      <c r="B16" s="5" t="s">
        <v>511</v>
      </c>
    </row>
    <row r="17" spans="1:2">
      <c r="A17" s="30" t="s">
        <v>580</v>
      </c>
      <c r="B17" s="7" t="s">
        <v>585</v>
      </c>
    </row>
    <row r="18" spans="1:2">
      <c r="A18" s="30" t="s">
        <v>581</v>
      </c>
      <c r="B18" s="7" t="s">
        <v>586</v>
      </c>
    </row>
    <row r="19" spans="1:2">
      <c r="A19" s="30" t="s">
        <v>523</v>
      </c>
      <c r="B19" s="5" t="s">
        <v>347</v>
      </c>
    </row>
    <row r="20" spans="1:2">
      <c r="A20" s="30" t="s">
        <v>525</v>
      </c>
      <c r="B20" s="7" t="s">
        <v>498</v>
      </c>
    </row>
    <row r="21" spans="1:2">
      <c r="A21" s="30" t="s">
        <v>499</v>
      </c>
      <c r="B21" s="5" t="s">
        <v>503</v>
      </c>
    </row>
    <row r="22" spans="1:2">
      <c r="A22" s="30" t="s">
        <v>500</v>
      </c>
      <c r="B22" s="5" t="s">
        <v>504</v>
      </c>
    </row>
    <row r="23" spans="1:2">
      <c r="A23" s="30" t="s">
        <v>501</v>
      </c>
      <c r="B23" s="5" t="s">
        <v>505</v>
      </c>
    </row>
    <row r="24" spans="1:2">
      <c r="A24" s="30" t="s">
        <v>502</v>
      </c>
      <c r="B24" s="5" t="s">
        <v>496</v>
      </c>
    </row>
    <row r="25" spans="1:2">
      <c r="A25" s="30" t="s">
        <v>571</v>
      </c>
      <c r="B25" s="7" t="s">
        <v>572</v>
      </c>
    </row>
    <row r="26" spans="1:2">
      <c r="A26" s="30" t="s">
        <v>650</v>
      </c>
      <c r="B26" s="7" t="s">
        <v>659</v>
      </c>
    </row>
    <row r="27" spans="1:2">
      <c r="A27" s="30" t="s">
        <v>597</v>
      </c>
      <c r="B27" s="7" t="s">
        <v>595</v>
      </c>
    </row>
    <row r="28" spans="1:2">
      <c r="A28" s="30" t="s">
        <v>638</v>
      </c>
      <c r="B28" s="7" t="s">
        <v>639</v>
      </c>
    </row>
    <row r="29" spans="1:2">
      <c r="A29" s="56" t="s">
        <v>641</v>
      </c>
      <c r="B29" s="7" t="s">
        <v>652</v>
      </c>
    </row>
    <row r="30" spans="1:2">
      <c r="A30" s="56" t="s">
        <v>654</v>
      </c>
      <c r="B30" s="7" t="s">
        <v>666</v>
      </c>
    </row>
    <row r="31" spans="1:2">
      <c r="A31" s="56" t="s">
        <v>662</v>
      </c>
      <c r="B31" s="7" t="s">
        <v>665</v>
      </c>
    </row>
    <row r="32" spans="1:2">
      <c r="A32" s="56" t="s">
        <v>647</v>
      </c>
      <c r="B32" s="7" t="s">
        <v>671</v>
      </c>
    </row>
    <row r="33" spans="1:3">
      <c r="A33" s="56"/>
      <c r="B33" s="7"/>
    </row>
    <row r="34" spans="1:3">
      <c r="A34" s="56"/>
      <c r="B34" s="7"/>
    </row>
    <row r="35" spans="1:3">
      <c r="A35" s="32" t="s">
        <v>529</v>
      </c>
      <c r="B35" s="29" t="s">
        <v>530</v>
      </c>
      <c r="C35" s="44">
        <v>3</v>
      </c>
    </row>
    <row r="36" spans="1:3">
      <c r="A36" s="31" t="s">
        <v>497</v>
      </c>
      <c r="B36" s="31"/>
    </row>
    <row r="37" spans="1:3">
      <c r="A37" s="30" t="s">
        <v>598</v>
      </c>
      <c r="B37" s="7" t="s">
        <v>596</v>
      </c>
    </row>
    <row r="38" spans="1:3">
      <c r="A38" s="30" t="s">
        <v>599</v>
      </c>
      <c r="B38" s="7" t="s">
        <v>600</v>
      </c>
    </row>
    <row r="39" spans="1:3">
      <c r="A39" s="30" t="s">
        <v>534</v>
      </c>
      <c r="B39" s="7" t="s">
        <v>533</v>
      </c>
    </row>
    <row r="40" spans="1:3">
      <c r="A40" s="37" t="s">
        <v>513</v>
      </c>
      <c r="B40" s="38" t="s">
        <v>494</v>
      </c>
      <c r="C40" s="44">
        <v>1</v>
      </c>
    </row>
    <row r="41" spans="1:3">
      <c r="A41" s="39" t="s">
        <v>514</v>
      </c>
      <c r="B41" s="40" t="s">
        <v>517</v>
      </c>
      <c r="C41" s="44">
        <v>2</v>
      </c>
    </row>
    <row r="42" spans="1:3">
      <c r="A42" s="33" t="s">
        <v>515</v>
      </c>
      <c r="B42" s="41" t="s">
        <v>531</v>
      </c>
      <c r="C42" s="44">
        <v>3</v>
      </c>
    </row>
    <row r="43" spans="1:3">
      <c r="A43" s="35" t="s">
        <v>516</v>
      </c>
      <c r="B43" s="42" t="s">
        <v>532</v>
      </c>
      <c r="C43" s="44">
        <v>4</v>
      </c>
    </row>
    <row r="44" spans="1:3">
      <c r="A44" s="30" t="s">
        <v>535</v>
      </c>
      <c r="B44" s="5" t="s">
        <v>536</v>
      </c>
    </row>
    <row r="45" spans="1:3">
      <c r="A45" s="30" t="s">
        <v>642</v>
      </c>
      <c r="B45" s="7" t="s">
        <v>643</v>
      </c>
    </row>
    <row r="46" spans="1:3">
      <c r="A46" s="30" t="s">
        <v>655</v>
      </c>
      <c r="B46" s="7" t="s">
        <v>656</v>
      </c>
    </row>
    <row r="47" spans="1:3">
      <c r="A47" s="56" t="s">
        <v>651</v>
      </c>
      <c r="B47" s="7" t="s">
        <v>653</v>
      </c>
    </row>
    <row r="48" spans="1:3">
      <c r="A48" s="33" t="s">
        <v>657</v>
      </c>
      <c r="B48" s="7" t="s">
        <v>658</v>
      </c>
    </row>
    <row r="49" spans="1:2">
      <c r="A49" s="30" t="s">
        <v>660</v>
      </c>
      <c r="B49" s="7" t="s">
        <v>661</v>
      </c>
    </row>
    <row r="50" spans="1:2">
      <c r="A50" s="30" t="s">
        <v>663</v>
      </c>
      <c r="B50" s="7" t="s">
        <v>664</v>
      </c>
    </row>
    <row r="51" spans="1:2">
      <c r="A51" s="30" t="s">
        <v>667</v>
      </c>
      <c r="B51" s="7" t="s">
        <v>668</v>
      </c>
    </row>
    <row r="52" spans="1:2">
      <c r="A52" s="30" t="s">
        <v>669</v>
      </c>
      <c r="B52" s="7" t="s">
        <v>670</v>
      </c>
    </row>
    <row r="53" spans="1:2">
      <c r="A53" s="30"/>
      <c r="B53" s="7"/>
    </row>
    <row r="54" spans="1:2">
      <c r="A54" s="30"/>
      <c r="B54" s="7"/>
    </row>
    <row r="55" spans="1:2">
      <c r="A55" s="30"/>
      <c r="B55" s="7"/>
    </row>
    <row r="56" spans="1:2">
      <c r="A56" s="30"/>
    </row>
    <row r="57" spans="1:2">
      <c r="A57" s="31" t="s">
        <v>649</v>
      </c>
      <c r="B57" s="31"/>
    </row>
    <row r="58" spans="1:2">
      <c r="A58" s="61" t="s">
        <v>542</v>
      </c>
      <c r="B58" s="38"/>
    </row>
    <row r="59" spans="1:2">
      <c r="A59" s="33" t="s">
        <v>521</v>
      </c>
      <c r="B59" s="34" t="s">
        <v>546</v>
      </c>
    </row>
    <row r="60" spans="1:2">
      <c r="A60" s="33" t="s">
        <v>518</v>
      </c>
      <c r="B60" s="34" t="s">
        <v>547</v>
      </c>
    </row>
    <row r="61" spans="1:2">
      <c r="A61" s="33" t="s">
        <v>563</v>
      </c>
      <c r="B61" s="41" t="s">
        <v>342</v>
      </c>
    </row>
    <row r="62" spans="1:2">
      <c r="A62" s="33" t="s">
        <v>583</v>
      </c>
      <c r="B62" s="41" t="s">
        <v>340</v>
      </c>
    </row>
    <row r="63" spans="1:2">
      <c r="A63" s="33" t="s">
        <v>522</v>
      </c>
      <c r="B63" s="34" t="s">
        <v>520</v>
      </c>
    </row>
    <row r="64" spans="1:2">
      <c r="A64" s="33" t="s">
        <v>519</v>
      </c>
      <c r="B64" s="34" t="s">
        <v>520</v>
      </c>
    </row>
    <row r="65" spans="1:2">
      <c r="A65" s="33" t="s">
        <v>564</v>
      </c>
      <c r="B65" s="34" t="s">
        <v>342</v>
      </c>
    </row>
    <row r="66" spans="1:2">
      <c r="A66" s="35" t="s">
        <v>584</v>
      </c>
      <c r="B66" s="42" t="s">
        <v>577</v>
      </c>
    </row>
    <row r="67" spans="1:2">
      <c r="A67" s="61" t="s">
        <v>542</v>
      </c>
      <c r="B67" s="38"/>
    </row>
    <row r="68" spans="1:2">
      <c r="A68" s="33" t="s">
        <v>541</v>
      </c>
      <c r="B68" s="34" t="s">
        <v>495</v>
      </c>
    </row>
    <row r="69" spans="1:2">
      <c r="A69" s="35" t="s">
        <v>582</v>
      </c>
      <c r="B69" s="36" t="s">
        <v>539</v>
      </c>
    </row>
    <row r="70" spans="1:2">
      <c r="A70" s="30" t="s">
        <v>573</v>
      </c>
      <c r="B70" s="41" t="s">
        <v>574</v>
      </c>
    </row>
    <row r="71" spans="1:2">
      <c r="A71" s="30" t="s">
        <v>575</v>
      </c>
      <c r="B71" s="41" t="s">
        <v>576</v>
      </c>
    </row>
    <row r="72" spans="1:2">
      <c r="A72" s="15"/>
    </row>
    <row r="73" spans="1:2">
      <c r="A73" s="31" t="s">
        <v>556</v>
      </c>
      <c r="B73" s="31"/>
    </row>
    <row r="74" spans="1:2">
      <c r="A74" s="30" t="s">
        <v>554</v>
      </c>
      <c r="B74" s="7" t="s">
        <v>558</v>
      </c>
    </row>
    <row r="75" spans="1:2">
      <c r="A75" s="30" t="s">
        <v>555</v>
      </c>
      <c r="B75" s="7" t="s">
        <v>559</v>
      </c>
    </row>
    <row r="76" spans="1:2">
      <c r="A76" s="30" t="s">
        <v>525</v>
      </c>
      <c r="B76" s="7" t="s">
        <v>557</v>
      </c>
    </row>
    <row r="77" spans="1:2">
      <c r="A77" s="4"/>
    </row>
    <row r="78" spans="1:2">
      <c r="A78" s="31" t="s">
        <v>8</v>
      </c>
      <c r="B78" s="31"/>
    </row>
    <row r="79" spans="1:2">
      <c r="A79" s="30" t="s">
        <v>588</v>
      </c>
      <c r="B79" s="7" t="s">
        <v>591</v>
      </c>
    </row>
    <row r="80" spans="1:2">
      <c r="A80" s="30" t="s">
        <v>587</v>
      </c>
      <c r="B80" s="7" t="s">
        <v>592</v>
      </c>
    </row>
    <row r="81" spans="1:2">
      <c r="A81" s="30" t="s">
        <v>590</v>
      </c>
      <c r="B81" s="7" t="s">
        <v>593</v>
      </c>
    </row>
    <row r="82" spans="1:2">
      <c r="A82" s="5" t="s">
        <v>601</v>
      </c>
    </row>
    <row r="83" spans="1:2">
      <c r="A83" s="5" t="s">
        <v>594</v>
      </c>
      <c r="B83" s="7"/>
    </row>
  </sheetData>
  <pageMargins left="0.17" right="0.17" top="0.32" bottom="0.25" header="0.17" footer="0.17"/>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973"/>
  <sheetViews>
    <sheetView workbookViewId="0">
      <pane ySplit="1" topLeftCell="A2" activePane="bottomLeft" state="frozen"/>
      <selection pane="bottomLeft" activeCell="A13" sqref="A13"/>
    </sheetView>
  </sheetViews>
  <sheetFormatPr defaultColWidth="8.85546875" defaultRowHeight="15"/>
  <cols>
    <col min="1" max="1" width="93.42578125" style="62" bestFit="1" customWidth="1"/>
    <col min="2" max="2" width="33.7109375" style="62" bestFit="1" customWidth="1"/>
    <col min="3" max="3" width="43.85546875" style="62" customWidth="1"/>
    <col min="4" max="4" width="62.7109375" style="62" bestFit="1" customWidth="1"/>
    <col min="5" max="16384" width="8.85546875" style="62"/>
  </cols>
  <sheetData>
    <row r="1" spans="1:4" ht="76.5" customHeight="1">
      <c r="A1" s="67">
        <f>COUNTA(Lentelė1[Nr.])</f>
        <v>5</v>
      </c>
      <c r="B1" s="67">
        <f>COUNTA(Lentelė1[Failai])</f>
        <v>2</v>
      </c>
      <c r="C1" s="68">
        <v>7</v>
      </c>
    </row>
    <row r="2" spans="1:4">
      <c r="A2" t="s">
        <v>672</v>
      </c>
      <c r="B2" t="s">
        <v>673</v>
      </c>
      <c r="C2" s="65" t="s">
        <v>732</v>
      </c>
    </row>
    <row r="3" spans="1:4">
      <c r="A3" s="70" t="s">
        <v>733</v>
      </c>
      <c r="B3"/>
      <c r="C3" s="63" t="s">
        <v>686</v>
      </c>
      <c r="D3" s="62" t="s">
        <v>691</v>
      </c>
    </row>
    <row r="4" spans="1:4">
      <c r="A4" s="70" t="s">
        <v>734</v>
      </c>
      <c r="B4"/>
      <c r="C4" s="63" t="s">
        <v>685</v>
      </c>
      <c r="D4" s="62" t="s">
        <v>689</v>
      </c>
    </row>
    <row r="5" spans="1:4">
      <c r="A5" s="70" t="s">
        <v>735</v>
      </c>
      <c r="B5"/>
      <c r="C5" s="66" t="s">
        <v>687</v>
      </c>
      <c r="D5" s="62" t="s">
        <v>690</v>
      </c>
    </row>
    <row r="6" spans="1:4">
      <c r="A6" s="70" t="s">
        <v>736</v>
      </c>
      <c r="B6"/>
      <c r="C6" s="66" t="s">
        <v>678</v>
      </c>
    </row>
    <row r="7" spans="1:4">
      <c r="A7" s="70" t="s">
        <v>738</v>
      </c>
      <c r="B7"/>
      <c r="C7" s="66" t="s">
        <v>679</v>
      </c>
    </row>
    <row r="8" spans="1:4">
      <c r="A8" s="70"/>
      <c r="B8" t="s">
        <v>742</v>
      </c>
      <c r="C8" s="66" t="s">
        <v>680</v>
      </c>
    </row>
    <row r="9" spans="1:4">
      <c r="A9" s="70"/>
      <c r="B9" t="s">
        <v>737</v>
      </c>
      <c r="C9" s="66" t="s">
        <v>681</v>
      </c>
    </row>
    <row r="10" spans="1:4">
      <c r="A10" s="70"/>
      <c r="B10"/>
      <c r="C10" s="66" t="s">
        <v>682</v>
      </c>
    </row>
    <row r="11" spans="1:4">
      <c r="A11" s="70"/>
      <c r="B11"/>
      <c r="C11" s="66" t="s">
        <v>683</v>
      </c>
    </row>
    <row r="12" spans="1:4">
      <c r="A12" s="70"/>
      <c r="B12"/>
      <c r="C12" s="66" t="s">
        <v>684</v>
      </c>
    </row>
    <row r="13" spans="1:4">
      <c r="A13" s="70"/>
      <c r="B13"/>
      <c r="C13" s="63"/>
    </row>
    <row r="14" spans="1:4">
      <c r="A14" s="70"/>
      <c r="B14"/>
      <c r="C14" s="63"/>
    </row>
    <row r="15" spans="1:4">
      <c r="A15" s="70"/>
      <c r="B15"/>
      <c r="C15" s="63"/>
    </row>
    <row r="16" spans="1:4">
      <c r="A16" s="70"/>
      <c r="B16"/>
      <c r="C16" s="63"/>
    </row>
    <row r="17" spans="1:3">
      <c r="A17" s="70"/>
      <c r="B17"/>
      <c r="C17" s="63"/>
    </row>
    <row r="18" spans="1:3">
      <c r="A18" s="70"/>
      <c r="B18"/>
      <c r="C18" s="63"/>
    </row>
    <row r="19" spans="1:3">
      <c r="A19" s="70"/>
      <c r="B19"/>
      <c r="C19" s="63"/>
    </row>
    <row r="20" spans="1:3">
      <c r="A20" s="70"/>
      <c r="B20"/>
      <c r="C20" s="63"/>
    </row>
    <row r="21" spans="1:3">
      <c r="A21" s="70"/>
      <c r="B21"/>
      <c r="C21" s="63"/>
    </row>
    <row r="22" spans="1:3">
      <c r="A22" s="70"/>
      <c r="B22"/>
      <c r="C22" s="63"/>
    </row>
    <row r="23" spans="1:3">
      <c r="A23" s="70"/>
      <c r="B23"/>
      <c r="C23" s="63"/>
    </row>
    <row r="24" spans="1:3">
      <c r="A24" s="70"/>
      <c r="B24"/>
      <c r="C24" s="63"/>
    </row>
    <row r="25" spans="1:3">
      <c r="A25" s="70"/>
      <c r="B25"/>
      <c r="C25" s="63"/>
    </row>
    <row r="26" spans="1:3">
      <c r="A26" s="70"/>
      <c r="B26"/>
      <c r="C26" s="63"/>
    </row>
    <row r="27" spans="1:3">
      <c r="A27" s="70"/>
      <c r="B27"/>
      <c r="C27" s="63"/>
    </row>
    <row r="28" spans="1:3">
      <c r="A28" s="70"/>
      <c r="B28"/>
      <c r="C28" s="63"/>
    </row>
    <row r="29" spans="1:3">
      <c r="A29" s="70"/>
      <c r="B29"/>
      <c r="C29" s="63"/>
    </row>
    <row r="30" spans="1:3">
      <c r="A30" s="70"/>
      <c r="B30"/>
      <c r="C30" s="63"/>
    </row>
    <row r="31" spans="1:3">
      <c r="A31" s="70"/>
      <c r="B31"/>
      <c r="C31" s="63"/>
    </row>
    <row r="32" spans="1:3">
      <c r="A32" s="70"/>
      <c r="B32"/>
      <c r="C32" s="63"/>
    </row>
    <row r="33" spans="1:3">
      <c r="A33" s="70"/>
      <c r="B33"/>
      <c r="C33" s="63"/>
    </row>
    <row r="34" spans="1:3">
      <c r="A34" s="70"/>
      <c r="B34"/>
      <c r="C34" s="63"/>
    </row>
    <row r="35" spans="1:3">
      <c r="A35" s="70"/>
      <c r="B35"/>
      <c r="C35" s="63"/>
    </row>
    <row r="36" spans="1:3">
      <c r="A36" s="70"/>
      <c r="B36"/>
      <c r="C36" s="63"/>
    </row>
    <row r="37" spans="1:3">
      <c r="A37" s="70"/>
      <c r="B37"/>
      <c r="C37" s="63"/>
    </row>
    <row r="38" spans="1:3">
      <c r="A38" s="70"/>
      <c r="B38"/>
      <c r="C38" s="63"/>
    </row>
    <row r="39" spans="1:3">
      <c r="A39" s="70"/>
      <c r="B39"/>
      <c r="C39" s="63"/>
    </row>
    <row r="40" spans="1:3">
      <c r="A40" s="70"/>
      <c r="B40"/>
      <c r="C40" s="63"/>
    </row>
    <row r="41" spans="1:3">
      <c r="A41" s="69"/>
      <c r="B41"/>
      <c r="C41" s="63"/>
    </row>
    <row r="42" spans="1:3">
      <c r="A42" s="69"/>
      <c r="B42"/>
      <c r="C42" s="63"/>
    </row>
    <row r="43" spans="1:3">
      <c r="A43" s="69"/>
      <c r="B43"/>
      <c r="C43" s="63"/>
    </row>
    <row r="44" spans="1:3">
      <c r="A44" s="69"/>
      <c r="B44"/>
      <c r="C44" s="63"/>
    </row>
    <row r="45" spans="1:3">
      <c r="A45" s="69"/>
      <c r="B45"/>
      <c r="C45" s="63"/>
    </row>
    <row r="46" spans="1:3">
      <c r="A46" s="69"/>
      <c r="B46"/>
      <c r="C46" s="63"/>
    </row>
    <row r="47" spans="1:3">
      <c r="A47" s="69"/>
      <c r="B47"/>
      <c r="C47" s="63"/>
    </row>
    <row r="48" spans="1:3">
      <c r="A48" s="69"/>
      <c r="B48"/>
      <c r="C48" s="63"/>
    </row>
    <row r="49" spans="1:3">
      <c r="A49" s="69"/>
      <c r="B49"/>
      <c r="C49" s="63"/>
    </row>
    <row r="50" spans="1:3">
      <c r="A50" s="69"/>
      <c r="B50"/>
      <c r="C50" s="63"/>
    </row>
    <row r="51" spans="1:3">
      <c r="A51" s="69"/>
      <c r="B51"/>
      <c r="C51" s="63"/>
    </row>
    <row r="52" spans="1:3">
      <c r="A52" s="69"/>
      <c r="B52"/>
      <c r="C52" s="63"/>
    </row>
    <row r="53" spans="1:3">
      <c r="A53" s="69"/>
      <c r="B53"/>
      <c r="C53" s="63"/>
    </row>
    <row r="54" spans="1:3">
      <c r="A54" s="69"/>
      <c r="B54"/>
      <c r="C54" s="63"/>
    </row>
    <row r="55" spans="1:3">
      <c r="A55" s="69"/>
      <c r="B55"/>
      <c r="C55" s="63"/>
    </row>
    <row r="56" spans="1:3">
      <c r="A56" s="69"/>
      <c r="B56"/>
      <c r="C56" s="63"/>
    </row>
    <row r="57" spans="1:3">
      <c r="A57" s="69"/>
      <c r="B57"/>
      <c r="C57" s="63"/>
    </row>
    <row r="58" spans="1:3">
      <c r="A58" s="69"/>
      <c r="B58"/>
      <c r="C58" s="63"/>
    </row>
    <row r="59" spans="1:3">
      <c r="A59" s="69"/>
      <c r="B59"/>
      <c r="C59" s="63"/>
    </row>
    <row r="60" spans="1:3">
      <c r="A60" s="69"/>
      <c r="B60"/>
      <c r="C60" s="63"/>
    </row>
    <row r="61" spans="1:3">
      <c r="A61" s="69"/>
      <c r="B61"/>
      <c r="C61" s="63"/>
    </row>
    <row r="62" spans="1:3">
      <c r="A62" s="69"/>
      <c r="B62"/>
      <c r="C62" s="63"/>
    </row>
    <row r="63" spans="1:3">
      <c r="A63" s="69"/>
      <c r="B63"/>
      <c r="C63" s="63"/>
    </row>
    <row r="64" spans="1:3">
      <c r="A64" s="69"/>
      <c r="B64"/>
      <c r="C64" s="63"/>
    </row>
    <row r="65" spans="1:3">
      <c r="A65" s="69"/>
      <c r="B65"/>
      <c r="C65" s="63"/>
    </row>
    <row r="66" spans="1:3">
      <c r="A66" s="69"/>
      <c r="B66"/>
      <c r="C66" s="63"/>
    </row>
    <row r="67" spans="1:3">
      <c r="A67" s="69"/>
      <c r="B67"/>
      <c r="C67" s="63"/>
    </row>
    <row r="68" spans="1:3">
      <c r="A68" s="69"/>
      <c r="B68"/>
      <c r="C68" s="63"/>
    </row>
    <row r="69" spans="1:3">
      <c r="A69" s="69"/>
      <c r="B69"/>
      <c r="C69" s="63"/>
    </row>
    <row r="70" spans="1:3">
      <c r="A70" s="69"/>
      <c r="B70"/>
      <c r="C70" s="63"/>
    </row>
    <row r="71" spans="1:3">
      <c r="A71" s="69"/>
      <c r="B71"/>
      <c r="C71" s="63"/>
    </row>
    <row r="72" spans="1:3">
      <c r="A72" s="69"/>
      <c r="B72"/>
      <c r="C72" s="63"/>
    </row>
    <row r="73" spans="1:3">
      <c r="A73" s="69"/>
      <c r="B73"/>
      <c r="C73" s="63"/>
    </row>
    <row r="74" spans="1:3">
      <c r="A74" s="69"/>
      <c r="B74"/>
      <c r="C74" s="63"/>
    </row>
    <row r="75" spans="1:3">
      <c r="A75" s="69"/>
      <c r="B75"/>
      <c r="C75" s="63"/>
    </row>
    <row r="76" spans="1:3">
      <c r="A76" s="69"/>
      <c r="B76"/>
      <c r="C76" s="63"/>
    </row>
    <row r="77" spans="1:3">
      <c r="A77" s="69"/>
      <c r="B77"/>
      <c r="C77" s="63"/>
    </row>
    <row r="78" spans="1:3">
      <c r="A78" s="69"/>
      <c r="B78"/>
      <c r="C78" s="63"/>
    </row>
    <row r="79" spans="1:3">
      <c r="A79" s="69"/>
      <c r="B79"/>
      <c r="C79" s="63"/>
    </row>
    <row r="80" spans="1:3">
      <c r="A80" s="69"/>
      <c r="B80"/>
      <c r="C80" s="63"/>
    </row>
    <row r="81" spans="1:3">
      <c r="A81" s="69"/>
      <c r="B81"/>
      <c r="C81" s="63"/>
    </row>
    <row r="82" spans="1:3">
      <c r="A82" s="69"/>
      <c r="B82"/>
      <c r="C82" s="63"/>
    </row>
    <row r="83" spans="1:3">
      <c r="A83" s="69"/>
      <c r="B83"/>
      <c r="C83" s="63"/>
    </row>
    <row r="84" spans="1:3">
      <c r="A84" s="69"/>
      <c r="B84"/>
      <c r="C84" s="63"/>
    </row>
    <row r="85" spans="1:3">
      <c r="A85" s="69"/>
      <c r="B85"/>
      <c r="C85" s="63"/>
    </row>
    <row r="86" spans="1:3">
      <c r="A86" s="69"/>
      <c r="B86"/>
      <c r="C86" s="63"/>
    </row>
    <row r="87" spans="1:3">
      <c r="A87" s="69"/>
      <c r="B87"/>
      <c r="C87" s="63"/>
    </row>
    <row r="88" spans="1:3">
      <c r="A88" s="69"/>
      <c r="B88"/>
      <c r="C88" s="63"/>
    </row>
    <row r="89" spans="1:3">
      <c r="A89" s="69"/>
      <c r="B89"/>
      <c r="C89" s="63"/>
    </row>
    <row r="90" spans="1:3">
      <c r="A90" s="69"/>
      <c r="B90"/>
      <c r="C90" s="63"/>
    </row>
    <row r="91" spans="1:3">
      <c r="A91" s="69"/>
      <c r="B91"/>
      <c r="C91" s="63"/>
    </row>
    <row r="92" spans="1:3">
      <c r="A92" s="69"/>
      <c r="B92"/>
      <c r="C92" s="63"/>
    </row>
    <row r="93" spans="1:3">
      <c r="A93" s="69"/>
      <c r="B93"/>
      <c r="C93" s="63"/>
    </row>
    <row r="94" spans="1:3">
      <c r="A94" s="69"/>
      <c r="B94"/>
      <c r="C94" s="63"/>
    </row>
    <row r="95" spans="1:3">
      <c r="A95" s="69"/>
      <c r="B95"/>
      <c r="C95" s="63"/>
    </row>
    <row r="96" spans="1:3">
      <c r="A96" s="69"/>
      <c r="B96"/>
      <c r="C96" s="63"/>
    </row>
    <row r="97" spans="1:3">
      <c r="A97" s="69"/>
      <c r="B97"/>
      <c r="C97" s="63"/>
    </row>
    <row r="98" spans="1:3">
      <c r="A98" s="69"/>
      <c r="B98"/>
      <c r="C98" s="63"/>
    </row>
    <row r="99" spans="1:3">
      <c r="A99" s="69"/>
      <c r="B99"/>
      <c r="C99" s="63"/>
    </row>
    <row r="100" spans="1:3">
      <c r="A100" s="69"/>
      <c r="B100"/>
      <c r="C100" s="63"/>
    </row>
    <row r="101" spans="1:3">
      <c r="A101" s="69"/>
      <c r="B101"/>
      <c r="C101" s="63"/>
    </row>
    <row r="102" spans="1:3">
      <c r="A102" s="69"/>
      <c r="B102"/>
      <c r="C102" s="63"/>
    </row>
    <row r="103" spans="1:3">
      <c r="A103" s="69"/>
      <c r="B103"/>
      <c r="C103" s="63"/>
    </row>
    <row r="104" spans="1:3">
      <c r="A104" s="69"/>
      <c r="B104"/>
      <c r="C104" s="63"/>
    </row>
    <row r="105" spans="1:3">
      <c r="A105" s="69"/>
      <c r="B105"/>
      <c r="C105" s="63"/>
    </row>
    <row r="106" spans="1:3">
      <c r="A106" s="69"/>
      <c r="B106"/>
      <c r="C106" s="63"/>
    </row>
    <row r="107" spans="1:3">
      <c r="A107" s="69"/>
      <c r="B107"/>
      <c r="C107" s="63"/>
    </row>
    <row r="108" spans="1:3">
      <c r="A108" s="69"/>
      <c r="B108"/>
      <c r="C108" s="63"/>
    </row>
    <row r="109" spans="1:3">
      <c r="A109" s="69"/>
      <c r="B109"/>
      <c r="C109" s="63"/>
    </row>
    <row r="110" spans="1:3">
      <c r="A110" s="69"/>
      <c r="B110"/>
      <c r="C110" s="63"/>
    </row>
    <row r="111" spans="1:3">
      <c r="A111" s="69"/>
      <c r="B111"/>
      <c r="C111" s="63"/>
    </row>
    <row r="112" spans="1:3">
      <c r="A112" s="69"/>
      <c r="B112"/>
      <c r="C112" s="63"/>
    </row>
    <row r="113" spans="1:3">
      <c r="A113" s="69"/>
      <c r="B113"/>
      <c r="C113" s="63"/>
    </row>
    <row r="114" spans="1:3">
      <c r="A114" s="69"/>
      <c r="B114"/>
      <c r="C114" s="63"/>
    </row>
    <row r="115" spans="1:3">
      <c r="A115" s="69"/>
      <c r="B115"/>
      <c r="C115" s="63"/>
    </row>
    <row r="116" spans="1:3">
      <c r="A116" s="69"/>
      <c r="B116"/>
      <c r="C116" s="63"/>
    </row>
    <row r="117" spans="1:3">
      <c r="A117" s="69"/>
      <c r="B117"/>
      <c r="C117" s="63"/>
    </row>
    <row r="118" spans="1:3">
      <c r="A118" s="69"/>
      <c r="B118"/>
      <c r="C118" s="63"/>
    </row>
    <row r="119" spans="1:3">
      <c r="A119" s="69"/>
      <c r="B119"/>
      <c r="C119" s="63"/>
    </row>
    <row r="120" spans="1:3">
      <c r="A120" s="69"/>
      <c r="B120"/>
      <c r="C120" s="63"/>
    </row>
    <row r="121" spans="1:3">
      <c r="A121" s="69"/>
      <c r="B121"/>
      <c r="C121" s="63"/>
    </row>
    <row r="122" spans="1:3">
      <c r="A122" s="69"/>
      <c r="B122"/>
      <c r="C122" s="63"/>
    </row>
    <row r="123" spans="1:3">
      <c r="A123" s="69"/>
      <c r="B123"/>
      <c r="C123" s="63"/>
    </row>
    <row r="124" spans="1:3">
      <c r="A124" s="69"/>
      <c r="B124"/>
      <c r="C124" s="63"/>
    </row>
    <row r="125" spans="1:3">
      <c r="A125" s="69"/>
      <c r="B125"/>
      <c r="C125" s="63"/>
    </row>
    <row r="126" spans="1:3">
      <c r="A126" s="69"/>
      <c r="B126"/>
      <c r="C126" s="63"/>
    </row>
    <row r="127" spans="1:3">
      <c r="A127" s="69"/>
      <c r="B127"/>
      <c r="C127" s="63"/>
    </row>
    <row r="128" spans="1:3">
      <c r="A128" s="69"/>
      <c r="B128"/>
      <c r="C128" s="63"/>
    </row>
    <row r="129" spans="1:3">
      <c r="A129" s="69"/>
      <c r="B129"/>
      <c r="C129" s="63"/>
    </row>
    <row r="130" spans="1:3">
      <c r="A130" s="69"/>
      <c r="B130"/>
      <c r="C130" s="63"/>
    </row>
    <row r="131" spans="1:3">
      <c r="A131" s="69"/>
      <c r="B131"/>
      <c r="C131" s="63"/>
    </row>
    <row r="132" spans="1:3">
      <c r="A132" s="69"/>
      <c r="B132"/>
      <c r="C132" s="63"/>
    </row>
    <row r="133" spans="1:3">
      <c r="A133" s="69"/>
      <c r="B133"/>
      <c r="C133" s="63"/>
    </row>
    <row r="134" spans="1:3">
      <c r="A134" s="69"/>
      <c r="B134"/>
      <c r="C134" s="63"/>
    </row>
    <row r="135" spans="1:3">
      <c r="A135" s="69"/>
      <c r="B135"/>
      <c r="C135" s="63"/>
    </row>
    <row r="136" spans="1:3">
      <c r="A136" s="69"/>
      <c r="B136"/>
      <c r="C136" s="63"/>
    </row>
    <row r="137" spans="1:3">
      <c r="A137" s="69"/>
      <c r="B137"/>
      <c r="C137" s="63"/>
    </row>
    <row r="138" spans="1:3">
      <c r="A138" s="69"/>
      <c r="B138"/>
      <c r="C138" s="63"/>
    </row>
    <row r="139" spans="1:3">
      <c r="A139" s="69"/>
      <c r="B139"/>
      <c r="C139" s="63"/>
    </row>
    <row r="140" spans="1:3">
      <c r="A140" s="69"/>
      <c r="B140"/>
      <c r="C140" s="63"/>
    </row>
    <row r="141" spans="1:3">
      <c r="A141" s="69"/>
      <c r="B141"/>
      <c r="C141" s="63"/>
    </row>
    <row r="142" spans="1:3">
      <c r="A142" s="69"/>
      <c r="B142"/>
      <c r="C142" s="63"/>
    </row>
    <row r="143" spans="1:3">
      <c r="A143" s="69"/>
      <c r="B143"/>
      <c r="C143" s="63"/>
    </row>
    <row r="144" spans="1:3">
      <c r="A144" s="69"/>
      <c r="B144"/>
      <c r="C144" s="63"/>
    </row>
    <row r="145" spans="1:3">
      <c r="A145" s="69"/>
      <c r="B145"/>
      <c r="C145" s="63"/>
    </row>
    <row r="146" spans="1:3">
      <c r="A146" s="69"/>
      <c r="B146"/>
      <c r="C146" s="63"/>
    </row>
    <row r="147" spans="1:3">
      <c r="A147" s="69"/>
      <c r="B147"/>
      <c r="C147" s="63"/>
    </row>
    <row r="148" spans="1:3">
      <c r="A148" s="69"/>
      <c r="B148"/>
      <c r="C148" s="63"/>
    </row>
    <row r="149" spans="1:3">
      <c r="A149" s="69"/>
      <c r="B149"/>
      <c r="C149" s="63"/>
    </row>
    <row r="150" spans="1:3">
      <c r="A150" s="69"/>
      <c r="B150"/>
      <c r="C150" s="63"/>
    </row>
    <row r="151" spans="1:3">
      <c r="A151" s="69"/>
      <c r="B151"/>
      <c r="C151" s="63"/>
    </row>
    <row r="152" spans="1:3">
      <c r="A152" s="69"/>
      <c r="B152"/>
      <c r="C152" s="63"/>
    </row>
    <row r="153" spans="1:3">
      <c r="A153" s="69"/>
      <c r="B153"/>
      <c r="C153" s="63"/>
    </row>
    <row r="154" spans="1:3">
      <c r="A154" s="69"/>
      <c r="B154"/>
      <c r="C154" s="63"/>
    </row>
    <row r="155" spans="1:3">
      <c r="A155" s="69"/>
      <c r="B155"/>
      <c r="C155" s="63"/>
    </row>
    <row r="156" spans="1:3">
      <c r="A156" s="69"/>
      <c r="B156"/>
      <c r="C156" s="63"/>
    </row>
    <row r="157" spans="1:3">
      <c r="A157" s="69"/>
      <c r="B157"/>
      <c r="C157" s="63"/>
    </row>
    <row r="158" spans="1:3">
      <c r="A158" s="69"/>
      <c r="B158"/>
      <c r="C158" s="63"/>
    </row>
    <row r="159" spans="1:3">
      <c r="A159" s="69"/>
      <c r="B159"/>
      <c r="C159" s="63"/>
    </row>
    <row r="160" spans="1:3">
      <c r="A160" s="69"/>
      <c r="B160"/>
      <c r="C160" s="63"/>
    </row>
    <row r="161" spans="1:3">
      <c r="A161" s="69"/>
      <c r="B161"/>
      <c r="C161" s="63"/>
    </row>
    <row r="162" spans="1:3">
      <c r="A162" s="69"/>
      <c r="B162"/>
      <c r="C162" s="63"/>
    </row>
    <row r="163" spans="1:3">
      <c r="A163" s="69"/>
      <c r="B163"/>
      <c r="C163" s="63"/>
    </row>
    <row r="164" spans="1:3">
      <c r="A164" s="69"/>
      <c r="B164"/>
      <c r="C164" s="63"/>
    </row>
    <row r="165" spans="1:3">
      <c r="A165" s="69"/>
      <c r="B165"/>
      <c r="C165" s="63"/>
    </row>
    <row r="166" spans="1:3">
      <c r="A166" s="69"/>
      <c r="B166"/>
      <c r="C166" s="63"/>
    </row>
    <row r="167" spans="1:3">
      <c r="A167" s="69"/>
      <c r="B167"/>
      <c r="C167" s="63"/>
    </row>
    <row r="168" spans="1:3">
      <c r="A168" s="69"/>
      <c r="B168"/>
      <c r="C168" s="63"/>
    </row>
    <row r="169" spans="1:3">
      <c r="A169" s="69"/>
      <c r="B169"/>
      <c r="C169" s="63"/>
    </row>
    <row r="170" spans="1:3">
      <c r="A170" s="69"/>
      <c r="B170"/>
      <c r="C170" s="63"/>
    </row>
    <row r="171" spans="1:3">
      <c r="A171" s="69"/>
      <c r="B171"/>
      <c r="C171" s="63"/>
    </row>
    <row r="172" spans="1:3">
      <c r="A172" s="69"/>
      <c r="B172"/>
      <c r="C172" s="63"/>
    </row>
    <row r="173" spans="1:3">
      <c r="A173" s="69"/>
      <c r="B173"/>
      <c r="C173" s="63"/>
    </row>
    <row r="174" spans="1:3">
      <c r="A174" s="69"/>
      <c r="B174"/>
      <c r="C174" s="63"/>
    </row>
    <row r="175" spans="1:3">
      <c r="A175" s="69"/>
      <c r="B175"/>
      <c r="C175" s="63"/>
    </row>
    <row r="176" spans="1:3">
      <c r="A176" s="69"/>
      <c r="B176"/>
      <c r="C176" s="63"/>
    </row>
    <row r="177" spans="1:3">
      <c r="A177" s="69"/>
      <c r="B177"/>
      <c r="C177" s="63"/>
    </row>
    <row r="178" spans="1:3">
      <c r="A178" s="69"/>
      <c r="B178"/>
      <c r="C178" s="63"/>
    </row>
    <row r="179" spans="1:3">
      <c r="A179" s="69"/>
      <c r="B179"/>
      <c r="C179" s="63"/>
    </row>
    <row r="180" spans="1:3">
      <c r="A180" s="69"/>
      <c r="B180"/>
      <c r="C180" s="63"/>
    </row>
    <row r="181" spans="1:3">
      <c r="A181" s="69"/>
      <c r="B181"/>
      <c r="C181" s="63"/>
    </row>
    <row r="182" spans="1:3">
      <c r="A182" s="69"/>
      <c r="B182"/>
      <c r="C182" s="63"/>
    </row>
    <row r="183" spans="1:3">
      <c r="A183" s="69"/>
      <c r="B183"/>
      <c r="C183" s="63"/>
    </row>
    <row r="184" spans="1:3">
      <c r="A184" s="69"/>
      <c r="B184"/>
      <c r="C184" s="63"/>
    </row>
    <row r="185" spans="1:3">
      <c r="A185" s="69"/>
      <c r="B185"/>
      <c r="C185" s="63"/>
    </row>
    <row r="186" spans="1:3">
      <c r="A186" s="69"/>
      <c r="B186"/>
      <c r="C186" s="63"/>
    </row>
    <row r="187" spans="1:3">
      <c r="A187" s="69"/>
      <c r="B187"/>
      <c r="C187" s="63"/>
    </row>
    <row r="188" spans="1:3">
      <c r="A188" s="69"/>
      <c r="B188"/>
      <c r="C188" s="63"/>
    </row>
    <row r="189" spans="1:3">
      <c r="A189" s="69"/>
      <c r="B189"/>
      <c r="C189" s="63"/>
    </row>
    <row r="190" spans="1:3">
      <c r="A190" s="69"/>
      <c r="B190"/>
      <c r="C190" s="63"/>
    </row>
    <row r="191" spans="1:3">
      <c r="A191" s="69"/>
      <c r="B191"/>
      <c r="C191" s="63"/>
    </row>
    <row r="192" spans="1:3">
      <c r="A192" s="69"/>
      <c r="B192"/>
      <c r="C192" s="63"/>
    </row>
    <row r="193" spans="1:3">
      <c r="A193" s="69"/>
      <c r="B193"/>
      <c r="C193" s="63"/>
    </row>
    <row r="194" spans="1:3">
      <c r="A194" s="69"/>
      <c r="B194"/>
      <c r="C194" s="63"/>
    </row>
    <row r="195" spans="1:3">
      <c r="A195" s="69"/>
      <c r="B195"/>
      <c r="C195" s="63"/>
    </row>
    <row r="196" spans="1:3">
      <c r="A196" s="69"/>
      <c r="B196"/>
      <c r="C196" s="63"/>
    </row>
    <row r="197" spans="1:3">
      <c r="A197" s="69"/>
      <c r="B197"/>
      <c r="C197" s="63"/>
    </row>
    <row r="198" spans="1:3">
      <c r="A198" s="69"/>
      <c r="B198"/>
      <c r="C198" s="63"/>
    </row>
    <row r="199" spans="1:3">
      <c r="A199" s="69"/>
      <c r="B199"/>
      <c r="C199" s="63"/>
    </row>
    <row r="200" spans="1:3">
      <c r="A200" s="69"/>
      <c r="B200"/>
      <c r="C200" s="63"/>
    </row>
    <row r="201" spans="1:3">
      <c r="A201" s="69"/>
      <c r="B201"/>
      <c r="C201" s="63"/>
    </row>
    <row r="202" spans="1:3">
      <c r="A202" s="69"/>
      <c r="B202"/>
      <c r="C202" s="63"/>
    </row>
    <row r="203" spans="1:3">
      <c r="A203" s="69"/>
      <c r="B203"/>
      <c r="C203" s="63"/>
    </row>
    <row r="204" spans="1:3">
      <c r="A204" s="69"/>
      <c r="B204"/>
      <c r="C204" s="63"/>
    </row>
    <row r="205" spans="1:3">
      <c r="A205" s="69"/>
      <c r="B205"/>
      <c r="C205" s="63"/>
    </row>
    <row r="206" spans="1:3">
      <c r="A206" s="69"/>
      <c r="B206"/>
      <c r="C206" s="63"/>
    </row>
    <row r="207" spans="1:3">
      <c r="A207" s="69"/>
      <c r="B207"/>
      <c r="C207" s="63"/>
    </row>
    <row r="208" spans="1:3">
      <c r="A208" s="69"/>
      <c r="B208"/>
      <c r="C208" s="63"/>
    </row>
    <row r="209" spans="1:3">
      <c r="A209" s="69"/>
      <c r="B209"/>
      <c r="C209" s="63"/>
    </row>
    <row r="210" spans="1:3">
      <c r="A210" s="69"/>
      <c r="B210"/>
      <c r="C210" s="63"/>
    </row>
    <row r="211" spans="1:3">
      <c r="A211" s="69"/>
      <c r="B211"/>
      <c r="C211" s="63"/>
    </row>
    <row r="212" spans="1:3">
      <c r="A212" s="69"/>
      <c r="B212"/>
      <c r="C212" s="63"/>
    </row>
    <row r="213" spans="1:3">
      <c r="A213" s="69"/>
      <c r="B213"/>
      <c r="C213" s="63"/>
    </row>
    <row r="214" spans="1:3">
      <c r="A214" s="69"/>
      <c r="B214"/>
      <c r="C214" s="63"/>
    </row>
    <row r="215" spans="1:3">
      <c r="A215" s="69"/>
      <c r="B215"/>
      <c r="C215" s="63"/>
    </row>
    <row r="216" spans="1:3">
      <c r="A216" s="69"/>
      <c r="B216"/>
      <c r="C216" s="63"/>
    </row>
    <row r="217" spans="1:3">
      <c r="A217" s="69"/>
      <c r="B217"/>
      <c r="C217" s="63"/>
    </row>
    <row r="218" spans="1:3">
      <c r="A218" s="69"/>
      <c r="B218"/>
      <c r="C218" s="63"/>
    </row>
    <row r="219" spans="1:3">
      <c r="A219" s="69"/>
      <c r="B219"/>
      <c r="C219" s="63"/>
    </row>
    <row r="220" spans="1:3">
      <c r="A220" s="69"/>
      <c r="B220"/>
      <c r="C220" s="63"/>
    </row>
    <row r="221" spans="1:3">
      <c r="A221" s="69"/>
      <c r="B221"/>
      <c r="C221" s="63"/>
    </row>
    <row r="222" spans="1:3">
      <c r="A222" s="69"/>
      <c r="B222"/>
      <c r="C222" s="63"/>
    </row>
    <row r="223" spans="1:3">
      <c r="A223" s="69"/>
      <c r="B223"/>
      <c r="C223" s="63"/>
    </row>
    <row r="224" spans="1:3">
      <c r="A224" s="69"/>
      <c r="B224"/>
      <c r="C224" s="63"/>
    </row>
    <row r="225" spans="1:3">
      <c r="A225" s="69"/>
      <c r="B225"/>
      <c r="C225" s="63"/>
    </row>
    <row r="226" spans="1:3">
      <c r="A226" s="69"/>
      <c r="B226"/>
      <c r="C226" s="63"/>
    </row>
    <row r="227" spans="1:3">
      <c r="A227" s="69"/>
      <c r="B227"/>
      <c r="C227" s="63"/>
    </row>
    <row r="228" spans="1:3">
      <c r="A228" s="69"/>
      <c r="B228"/>
      <c r="C228" s="63"/>
    </row>
    <row r="229" spans="1:3">
      <c r="A229" s="69"/>
      <c r="B229"/>
      <c r="C229" s="63"/>
    </row>
    <row r="230" spans="1:3">
      <c r="A230" s="69"/>
      <c r="B230"/>
      <c r="C230" s="63"/>
    </row>
    <row r="231" spans="1:3">
      <c r="A231" s="69"/>
      <c r="B231"/>
      <c r="C231" s="63"/>
    </row>
    <row r="232" spans="1:3">
      <c r="A232" s="69"/>
      <c r="B232"/>
      <c r="C232" s="63"/>
    </row>
    <row r="233" spans="1:3">
      <c r="A233" s="69"/>
      <c r="B233"/>
      <c r="C233" s="63"/>
    </row>
    <row r="234" spans="1:3">
      <c r="A234" s="69"/>
      <c r="B234"/>
      <c r="C234" s="63"/>
    </row>
    <row r="235" spans="1:3">
      <c r="A235" s="69"/>
      <c r="B235"/>
      <c r="C235" s="63"/>
    </row>
    <row r="236" spans="1:3">
      <c r="A236" s="69"/>
      <c r="B236"/>
      <c r="C236" s="63"/>
    </row>
    <row r="237" spans="1:3">
      <c r="A237" s="69"/>
      <c r="B237"/>
      <c r="C237" s="63"/>
    </row>
    <row r="238" spans="1:3">
      <c r="A238" s="69"/>
      <c r="B238"/>
      <c r="C238" s="63"/>
    </row>
    <row r="239" spans="1:3">
      <c r="A239" s="69"/>
      <c r="B239"/>
      <c r="C239" s="63"/>
    </row>
    <row r="240" spans="1:3">
      <c r="A240" s="69"/>
      <c r="B240"/>
      <c r="C240" s="63"/>
    </row>
    <row r="241" spans="1:3">
      <c r="A241" s="69"/>
      <c r="B241"/>
      <c r="C241" s="63"/>
    </row>
    <row r="242" spans="1:3">
      <c r="A242" s="69"/>
      <c r="B242"/>
      <c r="C242" s="63"/>
    </row>
    <row r="243" spans="1:3">
      <c r="A243" s="69"/>
      <c r="B243"/>
      <c r="C243" s="63"/>
    </row>
    <row r="244" spans="1:3">
      <c r="A244" s="69"/>
      <c r="B244"/>
      <c r="C244" s="63"/>
    </row>
    <row r="245" spans="1:3">
      <c r="A245" s="69"/>
      <c r="B245"/>
      <c r="C245" s="63"/>
    </row>
    <row r="246" spans="1:3">
      <c r="A246" s="69"/>
      <c r="B246"/>
      <c r="C246" s="63"/>
    </row>
    <row r="247" spans="1:3">
      <c r="A247" s="69"/>
      <c r="B247"/>
      <c r="C247" s="63"/>
    </row>
    <row r="248" spans="1:3">
      <c r="A248" s="69"/>
      <c r="B248"/>
      <c r="C248" s="63"/>
    </row>
    <row r="249" spans="1:3">
      <c r="A249" s="69"/>
      <c r="B249"/>
      <c r="C249" s="63"/>
    </row>
    <row r="250" spans="1:3">
      <c r="A250" s="69"/>
      <c r="B250"/>
      <c r="C250" s="63"/>
    </row>
    <row r="251" spans="1:3">
      <c r="A251" s="69"/>
      <c r="B251"/>
      <c r="C251" s="63"/>
    </row>
    <row r="252" spans="1:3">
      <c r="A252" s="69"/>
      <c r="B252"/>
      <c r="C252" s="63"/>
    </row>
    <row r="253" spans="1:3">
      <c r="A253" s="69"/>
      <c r="B253"/>
      <c r="C253" s="63"/>
    </row>
    <row r="254" spans="1:3">
      <c r="A254" s="69"/>
      <c r="B254"/>
      <c r="C254" s="63"/>
    </row>
    <row r="255" spans="1:3">
      <c r="A255" s="69"/>
      <c r="B255"/>
      <c r="C255" s="63"/>
    </row>
    <row r="256" spans="1:3">
      <c r="A256" s="69"/>
      <c r="B256"/>
      <c r="C256" s="63"/>
    </row>
    <row r="257" spans="1:3">
      <c r="A257" s="69"/>
      <c r="B257"/>
      <c r="C257" s="63"/>
    </row>
    <row r="258" spans="1:3">
      <c r="A258" s="69"/>
      <c r="B258"/>
      <c r="C258" s="63"/>
    </row>
    <row r="259" spans="1:3">
      <c r="A259" s="69"/>
      <c r="B259"/>
      <c r="C259" s="63"/>
    </row>
    <row r="260" spans="1:3">
      <c r="A260" s="69"/>
      <c r="B260"/>
      <c r="C260" s="63"/>
    </row>
    <row r="261" spans="1:3">
      <c r="A261" s="69"/>
      <c r="B261"/>
      <c r="C261" s="63"/>
    </row>
    <row r="262" spans="1:3">
      <c r="A262" s="69"/>
      <c r="B262"/>
      <c r="C262" s="63"/>
    </row>
    <row r="263" spans="1:3">
      <c r="A263" s="69"/>
      <c r="B263"/>
      <c r="C263" s="63"/>
    </row>
    <row r="264" spans="1:3">
      <c r="A264" s="69"/>
      <c r="B264"/>
      <c r="C264" s="63"/>
    </row>
    <row r="265" spans="1:3">
      <c r="A265" s="69"/>
      <c r="B265"/>
      <c r="C265" s="63"/>
    </row>
    <row r="266" spans="1:3">
      <c r="A266" s="69"/>
      <c r="B266"/>
      <c r="C266" s="63"/>
    </row>
    <row r="267" spans="1:3">
      <c r="A267" s="69"/>
      <c r="B267"/>
      <c r="C267" s="63"/>
    </row>
    <row r="268" spans="1:3">
      <c r="A268" s="69"/>
      <c r="B268"/>
      <c r="C268" s="63"/>
    </row>
    <row r="269" spans="1:3">
      <c r="A269" s="69"/>
      <c r="B269"/>
      <c r="C269" s="63"/>
    </row>
    <row r="270" spans="1:3">
      <c r="A270" s="69"/>
      <c r="B270"/>
      <c r="C270" s="63"/>
    </row>
    <row r="271" spans="1:3">
      <c r="A271" s="69"/>
      <c r="B271"/>
      <c r="C271" s="63"/>
    </row>
    <row r="272" spans="1:3">
      <c r="A272" s="69"/>
      <c r="B272"/>
      <c r="C272" s="63"/>
    </row>
    <row r="273" spans="1:3">
      <c r="A273" s="69"/>
      <c r="B273"/>
      <c r="C273" s="63"/>
    </row>
    <row r="274" spans="1:3">
      <c r="A274" s="69"/>
      <c r="B274"/>
      <c r="C274" s="63"/>
    </row>
    <row r="275" spans="1:3">
      <c r="A275" s="69"/>
      <c r="B275"/>
      <c r="C275" s="63"/>
    </row>
    <row r="276" spans="1:3">
      <c r="A276" s="69"/>
      <c r="B276"/>
      <c r="C276" s="63"/>
    </row>
    <row r="277" spans="1:3">
      <c r="A277" s="69"/>
      <c r="B277"/>
      <c r="C277" s="63"/>
    </row>
    <row r="278" spans="1:3">
      <c r="A278" s="69"/>
      <c r="B278"/>
      <c r="C278" s="63"/>
    </row>
    <row r="279" spans="1:3">
      <c r="A279" s="69"/>
      <c r="B279"/>
      <c r="C279" s="63"/>
    </row>
    <row r="280" spans="1:3">
      <c r="A280" s="69"/>
      <c r="B280"/>
      <c r="C280" s="63"/>
    </row>
    <row r="281" spans="1:3">
      <c r="A281" s="69"/>
      <c r="B281"/>
      <c r="C281" s="63"/>
    </row>
    <row r="282" spans="1:3">
      <c r="A282" s="69"/>
      <c r="B282"/>
      <c r="C282" s="63"/>
    </row>
    <row r="283" spans="1:3">
      <c r="A283" s="69"/>
      <c r="B283"/>
      <c r="C283" s="63"/>
    </row>
    <row r="284" spans="1:3">
      <c r="A284" s="69"/>
      <c r="B284"/>
      <c r="C284" s="63"/>
    </row>
    <row r="285" spans="1:3">
      <c r="A285" s="69"/>
      <c r="B285"/>
      <c r="C285" s="63"/>
    </row>
    <row r="286" spans="1:3">
      <c r="A286" s="69"/>
      <c r="B286"/>
      <c r="C286" s="63"/>
    </row>
    <row r="287" spans="1:3">
      <c r="A287" s="69"/>
      <c r="B287"/>
      <c r="C287" s="63"/>
    </row>
    <row r="288" spans="1:3">
      <c r="A288" s="69"/>
      <c r="B288"/>
      <c r="C288" s="63"/>
    </row>
    <row r="289" spans="1:3">
      <c r="A289" s="69"/>
      <c r="B289"/>
      <c r="C289" s="63"/>
    </row>
    <row r="290" spans="1:3">
      <c r="A290" s="69"/>
      <c r="B290"/>
      <c r="C290" s="63"/>
    </row>
    <row r="291" spans="1:3">
      <c r="A291" s="69"/>
      <c r="B291"/>
      <c r="C291" s="63"/>
    </row>
    <row r="292" spans="1:3">
      <c r="A292" s="69"/>
      <c r="B292"/>
      <c r="C292" s="63"/>
    </row>
    <row r="293" spans="1:3">
      <c r="A293" s="69"/>
      <c r="B293"/>
      <c r="C293" s="63"/>
    </row>
    <row r="294" spans="1:3">
      <c r="A294" s="69"/>
      <c r="B294"/>
      <c r="C294" s="63"/>
    </row>
    <row r="295" spans="1:3">
      <c r="A295" s="69"/>
      <c r="B295"/>
      <c r="C295" s="63"/>
    </row>
    <row r="296" spans="1:3">
      <c r="A296" s="69"/>
      <c r="B296"/>
      <c r="C296" s="63"/>
    </row>
    <row r="297" spans="1:3">
      <c r="A297" s="69"/>
      <c r="B297"/>
      <c r="C297" s="63"/>
    </row>
    <row r="298" spans="1:3">
      <c r="A298" s="69"/>
      <c r="B298"/>
      <c r="C298" s="63"/>
    </row>
    <row r="299" spans="1:3">
      <c r="A299" s="69"/>
      <c r="B299"/>
      <c r="C299" s="63"/>
    </row>
    <row r="300" spans="1:3">
      <c r="A300" s="69"/>
      <c r="B300"/>
      <c r="C300" s="63"/>
    </row>
    <row r="301" spans="1:3">
      <c r="A301" s="69"/>
      <c r="B301"/>
      <c r="C301" s="63"/>
    </row>
    <row r="302" spans="1:3">
      <c r="A302" s="69"/>
      <c r="B302"/>
      <c r="C302" s="63"/>
    </row>
    <row r="303" spans="1:3">
      <c r="A303" s="69"/>
      <c r="B303"/>
      <c r="C303" s="63"/>
    </row>
    <row r="304" spans="1:3">
      <c r="A304" s="69"/>
      <c r="B304"/>
      <c r="C304" s="63"/>
    </row>
    <row r="305" spans="1:3">
      <c r="A305" s="69"/>
      <c r="B305"/>
      <c r="C305" s="63"/>
    </row>
    <row r="306" spans="1:3">
      <c r="A306" s="69"/>
      <c r="B306"/>
      <c r="C306" s="63"/>
    </row>
    <row r="307" spans="1:3">
      <c r="A307" s="69"/>
      <c r="B307"/>
      <c r="C307" s="63"/>
    </row>
    <row r="308" spans="1:3">
      <c r="A308" s="69"/>
      <c r="B308"/>
      <c r="C308" s="63"/>
    </row>
    <row r="309" spans="1:3">
      <c r="A309" s="69"/>
      <c r="B309"/>
      <c r="C309" s="63"/>
    </row>
    <row r="310" spans="1:3">
      <c r="A310" s="69"/>
      <c r="B310"/>
      <c r="C310" s="63"/>
    </row>
    <row r="311" spans="1:3">
      <c r="A311" s="69"/>
      <c r="B311"/>
      <c r="C311" s="63"/>
    </row>
    <row r="312" spans="1:3">
      <c r="A312" s="69"/>
      <c r="B312"/>
      <c r="C312" s="63"/>
    </row>
    <row r="313" spans="1:3">
      <c r="A313" s="69"/>
      <c r="B313"/>
      <c r="C313" s="63"/>
    </row>
    <row r="314" spans="1:3">
      <c r="A314" s="69"/>
      <c r="B314"/>
      <c r="C314" s="63"/>
    </row>
    <row r="315" spans="1:3">
      <c r="A315" s="69"/>
      <c r="B315"/>
      <c r="C315" s="63"/>
    </row>
    <row r="316" spans="1:3">
      <c r="A316" s="69"/>
      <c r="B316"/>
      <c r="C316" s="63"/>
    </row>
    <row r="317" spans="1:3">
      <c r="A317" s="69"/>
      <c r="B317"/>
      <c r="C317" s="63"/>
    </row>
    <row r="318" spans="1:3">
      <c r="A318" s="69"/>
      <c r="B318"/>
      <c r="C318" s="63"/>
    </row>
    <row r="319" spans="1:3">
      <c r="A319" s="69"/>
      <c r="B319"/>
      <c r="C319" s="63"/>
    </row>
    <row r="320" spans="1:3">
      <c r="A320" s="69"/>
      <c r="B320"/>
      <c r="C320" s="63"/>
    </row>
    <row r="321" spans="1:3">
      <c r="A321" s="69"/>
      <c r="B321"/>
      <c r="C321" s="63"/>
    </row>
    <row r="322" spans="1:3">
      <c r="A322" s="69"/>
      <c r="B322"/>
      <c r="C322" s="63"/>
    </row>
    <row r="323" spans="1:3">
      <c r="A323" s="69"/>
      <c r="B323"/>
      <c r="C323" s="63"/>
    </row>
    <row r="324" spans="1:3">
      <c r="A324" s="69"/>
      <c r="B324"/>
      <c r="C324" s="63"/>
    </row>
    <row r="325" spans="1:3">
      <c r="A325" s="69"/>
      <c r="B325"/>
      <c r="C325" s="63"/>
    </row>
    <row r="326" spans="1:3">
      <c r="A326" s="69"/>
      <c r="B326"/>
      <c r="C326" s="63"/>
    </row>
    <row r="327" spans="1:3">
      <c r="A327" s="69"/>
      <c r="B327"/>
      <c r="C327" s="63"/>
    </row>
    <row r="328" spans="1:3">
      <c r="A328" s="69"/>
      <c r="B328"/>
      <c r="C328" s="63"/>
    </row>
    <row r="329" spans="1:3">
      <c r="A329" s="69"/>
      <c r="B329"/>
      <c r="C329" s="63"/>
    </row>
    <row r="330" spans="1:3">
      <c r="A330" s="69"/>
      <c r="B330"/>
      <c r="C330" s="63"/>
    </row>
    <row r="331" spans="1:3">
      <c r="A331" s="69"/>
      <c r="B331"/>
      <c r="C331" s="63"/>
    </row>
    <row r="332" spans="1:3">
      <c r="A332" s="69"/>
      <c r="B332"/>
      <c r="C332" s="63"/>
    </row>
    <row r="333" spans="1:3">
      <c r="A333" s="69"/>
      <c r="B333"/>
      <c r="C333" s="63"/>
    </row>
    <row r="334" spans="1:3">
      <c r="A334" s="69"/>
      <c r="B334"/>
      <c r="C334" s="63"/>
    </row>
    <row r="335" spans="1:3">
      <c r="A335" s="69"/>
      <c r="B335"/>
      <c r="C335" s="63"/>
    </row>
    <row r="336" spans="1:3">
      <c r="A336" s="69"/>
      <c r="B336"/>
      <c r="C336" s="63"/>
    </row>
    <row r="337" spans="1:3">
      <c r="A337" s="69"/>
      <c r="B337"/>
      <c r="C337" s="63"/>
    </row>
    <row r="338" spans="1:3">
      <c r="A338" s="69"/>
      <c r="B338"/>
      <c r="C338" s="63"/>
    </row>
    <row r="339" spans="1:3">
      <c r="A339" s="69"/>
      <c r="B339"/>
      <c r="C339" s="63"/>
    </row>
    <row r="340" spans="1:3">
      <c r="A340" s="69"/>
      <c r="B340"/>
      <c r="C340" s="63"/>
    </row>
    <row r="341" spans="1:3">
      <c r="A341" s="69"/>
      <c r="B341"/>
      <c r="C341" s="63"/>
    </row>
    <row r="342" spans="1:3">
      <c r="A342" s="69"/>
      <c r="B342"/>
      <c r="C342" s="63"/>
    </row>
    <row r="343" spans="1:3">
      <c r="A343" s="69"/>
      <c r="B343"/>
      <c r="C343" s="63"/>
    </row>
    <row r="344" spans="1:3">
      <c r="A344" s="69"/>
      <c r="B344"/>
      <c r="C344" s="63"/>
    </row>
    <row r="345" spans="1:3">
      <c r="A345" s="69"/>
      <c r="B345"/>
      <c r="C345" s="63"/>
    </row>
    <row r="346" spans="1:3">
      <c r="A346" s="69"/>
      <c r="B346"/>
      <c r="C346" s="63"/>
    </row>
    <row r="347" spans="1:3">
      <c r="A347" s="69"/>
      <c r="B347"/>
      <c r="C347" s="63"/>
    </row>
    <row r="348" spans="1:3">
      <c r="A348" s="69"/>
      <c r="B348"/>
      <c r="C348" s="63"/>
    </row>
    <row r="349" spans="1:3">
      <c r="A349" s="69"/>
      <c r="B349"/>
      <c r="C349" s="63"/>
    </row>
    <row r="350" spans="1:3">
      <c r="A350" s="69"/>
      <c r="B350"/>
      <c r="C350" s="63"/>
    </row>
    <row r="351" spans="1:3">
      <c r="A351" s="69"/>
      <c r="B351"/>
      <c r="C351" s="63"/>
    </row>
    <row r="352" spans="1:3">
      <c r="A352" s="69"/>
      <c r="B352"/>
      <c r="C352" s="63"/>
    </row>
    <row r="353" spans="1:3">
      <c r="A353" s="69"/>
      <c r="B353"/>
      <c r="C353" s="63"/>
    </row>
    <row r="354" spans="1:3">
      <c r="A354" s="69"/>
      <c r="B354"/>
      <c r="C354" s="63"/>
    </row>
    <row r="355" spans="1:3">
      <c r="A355" s="69"/>
      <c r="B355"/>
      <c r="C355" s="63"/>
    </row>
    <row r="356" spans="1:3">
      <c r="A356" s="69"/>
      <c r="B356"/>
      <c r="C356" s="63"/>
    </row>
    <row r="357" spans="1:3">
      <c r="A357" s="69"/>
      <c r="B357"/>
      <c r="C357" s="63"/>
    </row>
    <row r="358" spans="1:3">
      <c r="A358" s="69"/>
      <c r="B358"/>
      <c r="C358" s="63"/>
    </row>
    <row r="359" spans="1:3">
      <c r="A359" s="69"/>
      <c r="B359"/>
      <c r="C359" s="63"/>
    </row>
    <row r="360" spans="1:3">
      <c r="A360" s="69"/>
      <c r="B360"/>
      <c r="C360" s="63"/>
    </row>
    <row r="361" spans="1:3">
      <c r="A361" s="69"/>
      <c r="B361"/>
      <c r="C361" s="63"/>
    </row>
    <row r="362" spans="1:3">
      <c r="A362" s="69"/>
      <c r="B362"/>
      <c r="C362" s="63"/>
    </row>
    <row r="363" spans="1:3">
      <c r="A363" s="69"/>
      <c r="B363"/>
      <c r="C363" s="63"/>
    </row>
    <row r="364" spans="1:3">
      <c r="A364" s="69"/>
      <c r="B364"/>
      <c r="C364" s="63"/>
    </row>
    <row r="365" spans="1:3">
      <c r="A365" s="69"/>
      <c r="B365"/>
      <c r="C365" s="63"/>
    </row>
    <row r="366" spans="1:3">
      <c r="A366" s="69"/>
      <c r="B366"/>
      <c r="C366" s="63"/>
    </row>
    <row r="367" spans="1:3">
      <c r="A367" s="69"/>
      <c r="B367"/>
      <c r="C367" s="63"/>
    </row>
    <row r="368" spans="1:3">
      <c r="A368" s="69"/>
      <c r="B368"/>
      <c r="C368" s="63"/>
    </row>
    <row r="369" spans="1:3">
      <c r="A369" s="69"/>
      <c r="B369"/>
      <c r="C369" s="63"/>
    </row>
    <row r="370" spans="1:3">
      <c r="A370" s="69"/>
      <c r="B370"/>
      <c r="C370" s="63"/>
    </row>
    <row r="371" spans="1:3">
      <c r="A371" s="69"/>
      <c r="B371"/>
      <c r="C371" s="63"/>
    </row>
    <row r="372" spans="1:3">
      <c r="A372" s="69"/>
      <c r="B372"/>
      <c r="C372" s="63"/>
    </row>
    <row r="373" spans="1:3">
      <c r="A373" s="69"/>
      <c r="B373"/>
      <c r="C373" s="63"/>
    </row>
    <row r="374" spans="1:3">
      <c r="A374" s="69"/>
      <c r="B374"/>
      <c r="C374" s="63"/>
    </row>
    <row r="375" spans="1:3">
      <c r="A375" s="69"/>
      <c r="B375"/>
      <c r="C375" s="63"/>
    </row>
    <row r="376" spans="1:3">
      <c r="A376" s="69"/>
      <c r="B376"/>
      <c r="C376" s="63"/>
    </row>
    <row r="377" spans="1:3">
      <c r="A377" s="69"/>
      <c r="B377"/>
      <c r="C377" s="63"/>
    </row>
    <row r="378" spans="1:3">
      <c r="A378" s="69"/>
      <c r="B378"/>
      <c r="C378" s="63"/>
    </row>
    <row r="379" spans="1:3">
      <c r="A379" s="69"/>
      <c r="B379"/>
      <c r="C379" s="63"/>
    </row>
    <row r="380" spans="1:3">
      <c r="A380" s="69"/>
      <c r="B380"/>
      <c r="C380" s="63"/>
    </row>
    <row r="381" spans="1:3">
      <c r="A381" s="69"/>
      <c r="B381"/>
      <c r="C381" s="63"/>
    </row>
    <row r="382" spans="1:3">
      <c r="A382" s="69"/>
      <c r="B382"/>
      <c r="C382" s="63"/>
    </row>
    <row r="383" spans="1:3">
      <c r="A383" s="69"/>
      <c r="B383"/>
      <c r="C383" s="63"/>
    </row>
    <row r="384" spans="1:3">
      <c r="A384" s="69"/>
      <c r="B384"/>
      <c r="C384" s="63"/>
    </row>
    <row r="385" spans="1:3">
      <c r="A385" s="69"/>
      <c r="B385"/>
      <c r="C385" s="63"/>
    </row>
    <row r="386" spans="1:3">
      <c r="A386" s="69"/>
      <c r="B386"/>
      <c r="C386" s="63"/>
    </row>
    <row r="387" spans="1:3">
      <c r="A387" s="69"/>
      <c r="B387"/>
      <c r="C387" s="63"/>
    </row>
    <row r="388" spans="1:3">
      <c r="A388" s="69"/>
      <c r="B388"/>
      <c r="C388" s="63"/>
    </row>
    <row r="389" spans="1:3">
      <c r="A389" s="69"/>
      <c r="B389"/>
      <c r="C389" s="63"/>
    </row>
    <row r="390" spans="1:3">
      <c r="A390" s="69"/>
      <c r="B390"/>
      <c r="C390" s="63"/>
    </row>
    <row r="391" spans="1:3">
      <c r="A391" s="69"/>
      <c r="B391"/>
      <c r="C391" s="63"/>
    </row>
    <row r="392" spans="1:3">
      <c r="A392" s="69"/>
      <c r="B392"/>
      <c r="C392" s="63"/>
    </row>
    <row r="393" spans="1:3">
      <c r="A393" s="69"/>
      <c r="B393"/>
      <c r="C393" s="63"/>
    </row>
    <row r="394" spans="1:3">
      <c r="A394" s="69"/>
      <c r="B394"/>
      <c r="C394" s="63"/>
    </row>
    <row r="395" spans="1:3">
      <c r="A395" s="69"/>
      <c r="B395"/>
      <c r="C395" s="63"/>
    </row>
    <row r="396" spans="1:3">
      <c r="A396" s="69"/>
      <c r="B396"/>
      <c r="C396" s="63"/>
    </row>
    <row r="397" spans="1:3">
      <c r="A397" s="69"/>
      <c r="B397"/>
      <c r="C397" s="63"/>
    </row>
    <row r="398" spans="1:3">
      <c r="A398" s="69"/>
      <c r="B398"/>
      <c r="C398" s="63"/>
    </row>
    <row r="399" spans="1:3">
      <c r="A399" s="69"/>
      <c r="B399"/>
      <c r="C399" s="63"/>
    </row>
    <row r="400" spans="1:3">
      <c r="A400" s="69"/>
      <c r="B400"/>
      <c r="C400" s="63"/>
    </row>
    <row r="401" spans="1:3">
      <c r="A401" s="69"/>
      <c r="B401"/>
      <c r="C401" s="63"/>
    </row>
    <row r="402" spans="1:3">
      <c r="A402" s="69"/>
      <c r="B402"/>
      <c r="C402" s="63"/>
    </row>
    <row r="403" spans="1:3">
      <c r="A403" s="69"/>
      <c r="B403"/>
      <c r="C403" s="63"/>
    </row>
    <row r="404" spans="1:3">
      <c r="A404" s="69"/>
      <c r="B404"/>
      <c r="C404" s="63"/>
    </row>
    <row r="405" spans="1:3">
      <c r="A405" s="69"/>
      <c r="B405"/>
      <c r="C405" s="63"/>
    </row>
    <row r="406" spans="1:3">
      <c r="A406" s="69"/>
      <c r="B406"/>
      <c r="C406" s="63"/>
    </row>
    <row r="407" spans="1:3">
      <c r="A407" s="69"/>
      <c r="B407"/>
      <c r="C407" s="63"/>
    </row>
    <row r="408" spans="1:3">
      <c r="A408" s="69"/>
      <c r="B408"/>
      <c r="C408" s="63"/>
    </row>
    <row r="409" spans="1:3">
      <c r="A409" s="69"/>
      <c r="B409"/>
      <c r="C409" s="63"/>
    </row>
    <row r="410" spans="1:3">
      <c r="A410" s="69"/>
      <c r="B410"/>
      <c r="C410" s="63"/>
    </row>
    <row r="411" spans="1:3">
      <c r="A411" s="69"/>
      <c r="B411"/>
      <c r="C411" s="63"/>
    </row>
    <row r="412" spans="1:3">
      <c r="A412" s="69"/>
      <c r="B412"/>
      <c r="C412" s="63"/>
    </row>
    <row r="413" spans="1:3">
      <c r="A413" s="69"/>
      <c r="B413"/>
      <c r="C413" s="63"/>
    </row>
    <row r="414" spans="1:3">
      <c r="A414" s="69"/>
      <c r="B414"/>
      <c r="C414" s="63"/>
    </row>
    <row r="415" spans="1:3">
      <c r="A415" s="69"/>
      <c r="B415"/>
      <c r="C415" s="63"/>
    </row>
    <row r="416" spans="1:3">
      <c r="A416" s="69"/>
      <c r="B416"/>
      <c r="C416" s="63"/>
    </row>
    <row r="417" spans="1:3">
      <c r="A417" s="69"/>
      <c r="B417"/>
      <c r="C417" s="63"/>
    </row>
    <row r="418" spans="1:3">
      <c r="A418" s="69"/>
      <c r="B418"/>
      <c r="C418" s="63"/>
    </row>
    <row r="419" spans="1:3">
      <c r="A419" s="69"/>
      <c r="B419"/>
      <c r="C419" s="63"/>
    </row>
    <row r="420" spans="1:3">
      <c r="A420" s="69"/>
      <c r="B420"/>
      <c r="C420" s="63"/>
    </row>
    <row r="421" spans="1:3">
      <c r="A421" s="69"/>
      <c r="B421"/>
      <c r="C421" s="63"/>
    </row>
    <row r="422" spans="1:3">
      <c r="A422" s="69"/>
      <c r="B422"/>
      <c r="C422" s="63"/>
    </row>
    <row r="423" spans="1:3">
      <c r="A423" s="69"/>
      <c r="B423"/>
      <c r="C423" s="63"/>
    </row>
    <row r="424" spans="1:3">
      <c r="A424" s="69"/>
      <c r="B424"/>
      <c r="C424" s="63"/>
    </row>
    <row r="425" spans="1:3">
      <c r="A425" s="69"/>
      <c r="B425"/>
      <c r="C425" s="63"/>
    </row>
    <row r="426" spans="1:3">
      <c r="A426" s="69"/>
      <c r="B426"/>
      <c r="C426" s="63"/>
    </row>
    <row r="427" spans="1:3">
      <c r="A427" s="69"/>
      <c r="B427"/>
      <c r="C427" s="63"/>
    </row>
    <row r="428" spans="1:3">
      <c r="A428" s="69"/>
      <c r="B428"/>
      <c r="C428" s="63"/>
    </row>
    <row r="429" spans="1:3">
      <c r="A429" s="69"/>
      <c r="B429"/>
      <c r="C429" s="63"/>
    </row>
    <row r="430" spans="1:3">
      <c r="A430" s="69"/>
      <c r="B430"/>
      <c r="C430" s="63"/>
    </row>
    <row r="431" spans="1:3">
      <c r="A431" s="69"/>
      <c r="B431"/>
      <c r="C431" s="63"/>
    </row>
    <row r="432" spans="1:3">
      <c r="A432" s="69"/>
      <c r="B432"/>
      <c r="C432" s="63"/>
    </row>
    <row r="433" spans="1:3">
      <c r="A433" s="69"/>
      <c r="B433"/>
      <c r="C433" s="63"/>
    </row>
    <row r="434" spans="1:3">
      <c r="A434" s="69"/>
      <c r="B434"/>
      <c r="C434" s="63"/>
    </row>
    <row r="435" spans="1:3">
      <c r="A435" s="69"/>
      <c r="B435"/>
      <c r="C435" s="63"/>
    </row>
    <row r="436" spans="1:3">
      <c r="A436" s="69"/>
      <c r="B436"/>
      <c r="C436" s="63"/>
    </row>
    <row r="437" spans="1:3">
      <c r="A437" s="69"/>
      <c r="B437"/>
      <c r="C437" s="63"/>
    </row>
    <row r="438" spans="1:3">
      <c r="A438" s="69"/>
      <c r="B438"/>
      <c r="C438" s="63"/>
    </row>
    <row r="439" spans="1:3">
      <c r="A439" s="69"/>
      <c r="B439"/>
      <c r="C439" s="63"/>
    </row>
    <row r="440" spans="1:3">
      <c r="A440" s="69"/>
      <c r="B440"/>
      <c r="C440" s="63"/>
    </row>
    <row r="441" spans="1:3">
      <c r="A441" s="69"/>
      <c r="B441"/>
      <c r="C441" s="63"/>
    </row>
    <row r="442" spans="1:3">
      <c r="A442" s="69"/>
      <c r="B442"/>
      <c r="C442" s="63"/>
    </row>
    <row r="443" spans="1:3">
      <c r="A443" s="69"/>
      <c r="B443"/>
      <c r="C443" s="63"/>
    </row>
    <row r="444" spans="1:3">
      <c r="A444" s="69"/>
      <c r="B444"/>
      <c r="C444" s="63"/>
    </row>
    <row r="445" spans="1:3">
      <c r="A445" s="69"/>
      <c r="B445"/>
      <c r="C445" s="63"/>
    </row>
    <row r="446" spans="1:3">
      <c r="A446" s="69"/>
      <c r="B446"/>
      <c r="C446" s="63"/>
    </row>
    <row r="447" spans="1:3">
      <c r="A447" s="69"/>
      <c r="B447"/>
      <c r="C447" s="63"/>
    </row>
    <row r="448" spans="1:3">
      <c r="A448" s="69"/>
      <c r="B448"/>
      <c r="C448" s="63"/>
    </row>
    <row r="449" spans="1:3">
      <c r="A449" s="69"/>
      <c r="B449"/>
      <c r="C449" s="63"/>
    </row>
    <row r="450" spans="1:3">
      <c r="A450" s="69"/>
      <c r="B450"/>
      <c r="C450" s="63"/>
    </row>
    <row r="451" spans="1:3">
      <c r="A451" s="69"/>
      <c r="B451"/>
      <c r="C451" s="63"/>
    </row>
    <row r="452" spans="1:3">
      <c r="A452" s="69"/>
      <c r="B452"/>
      <c r="C452" s="63"/>
    </row>
    <row r="453" spans="1:3">
      <c r="A453" s="69"/>
      <c r="B453"/>
      <c r="C453" s="63"/>
    </row>
    <row r="454" spans="1:3">
      <c r="A454" s="69"/>
      <c r="B454"/>
      <c r="C454" s="63"/>
    </row>
    <row r="455" spans="1:3">
      <c r="A455" s="69"/>
      <c r="B455"/>
      <c r="C455" s="63"/>
    </row>
    <row r="456" spans="1:3">
      <c r="A456" s="69"/>
      <c r="B456"/>
      <c r="C456" s="63"/>
    </row>
    <row r="457" spans="1:3">
      <c r="A457" s="69"/>
      <c r="B457"/>
      <c r="C457" s="63"/>
    </row>
    <row r="458" spans="1:3">
      <c r="A458" s="69"/>
      <c r="B458"/>
      <c r="C458" s="63"/>
    </row>
    <row r="459" spans="1:3">
      <c r="A459" s="69"/>
      <c r="B459"/>
      <c r="C459" s="63"/>
    </row>
    <row r="460" spans="1:3">
      <c r="A460" s="69"/>
      <c r="B460"/>
      <c r="C460" s="63"/>
    </row>
    <row r="461" spans="1:3">
      <c r="A461" s="69"/>
      <c r="B461"/>
      <c r="C461" s="63"/>
    </row>
    <row r="462" spans="1:3">
      <c r="A462" s="69"/>
      <c r="B462"/>
      <c r="C462" s="63"/>
    </row>
    <row r="463" spans="1:3">
      <c r="A463" s="69"/>
      <c r="B463"/>
      <c r="C463" s="63"/>
    </row>
    <row r="464" spans="1:3">
      <c r="A464" s="69"/>
      <c r="B464"/>
      <c r="C464" s="63"/>
    </row>
    <row r="465" spans="1:3">
      <c r="A465" s="69"/>
      <c r="B465"/>
      <c r="C465" s="63"/>
    </row>
    <row r="466" spans="1:3">
      <c r="A466" s="69"/>
      <c r="B466"/>
      <c r="C466" s="63"/>
    </row>
    <row r="467" spans="1:3">
      <c r="A467" s="69"/>
      <c r="B467"/>
      <c r="C467" s="63"/>
    </row>
    <row r="468" spans="1:3">
      <c r="A468" s="69"/>
      <c r="B468"/>
      <c r="C468" s="63"/>
    </row>
    <row r="469" spans="1:3">
      <c r="A469" s="69"/>
      <c r="B469"/>
      <c r="C469" s="63"/>
    </row>
    <row r="470" spans="1:3">
      <c r="A470" s="69"/>
      <c r="B470"/>
      <c r="C470" s="63"/>
    </row>
    <row r="471" spans="1:3">
      <c r="A471" s="69"/>
      <c r="B471"/>
      <c r="C471" s="63"/>
    </row>
    <row r="472" spans="1:3">
      <c r="A472" s="69"/>
      <c r="B472"/>
      <c r="C472" s="63"/>
    </row>
    <row r="473" spans="1:3">
      <c r="A473" s="69"/>
      <c r="B473"/>
      <c r="C473" s="63"/>
    </row>
    <row r="474" spans="1:3">
      <c r="A474" s="69"/>
      <c r="B474"/>
      <c r="C474" s="63"/>
    </row>
    <row r="475" spans="1:3">
      <c r="A475" s="69"/>
      <c r="B475"/>
      <c r="C475" s="63"/>
    </row>
    <row r="476" spans="1:3">
      <c r="A476" s="69"/>
      <c r="B476"/>
      <c r="C476" s="63"/>
    </row>
    <row r="477" spans="1:3">
      <c r="A477" s="69"/>
      <c r="B477"/>
      <c r="C477" s="63"/>
    </row>
    <row r="478" spans="1:3">
      <c r="A478" s="69"/>
      <c r="B478"/>
      <c r="C478" s="63"/>
    </row>
    <row r="479" spans="1:3">
      <c r="A479" s="69"/>
      <c r="B479"/>
      <c r="C479" s="63"/>
    </row>
    <row r="480" spans="1:3">
      <c r="A480" s="69"/>
      <c r="B480"/>
      <c r="C480" s="63"/>
    </row>
    <row r="481" spans="1:3">
      <c r="A481" s="69"/>
      <c r="B481"/>
      <c r="C481" s="63"/>
    </row>
    <row r="482" spans="1:3">
      <c r="A482" s="69"/>
      <c r="B482"/>
      <c r="C482" s="63"/>
    </row>
    <row r="483" spans="1:3">
      <c r="A483" s="69"/>
      <c r="B483"/>
      <c r="C483" s="63"/>
    </row>
    <row r="484" spans="1:3">
      <c r="A484" s="69"/>
      <c r="B484"/>
      <c r="C484" s="63"/>
    </row>
    <row r="485" spans="1:3">
      <c r="A485" s="69"/>
      <c r="B485"/>
      <c r="C485" s="63"/>
    </row>
    <row r="486" spans="1:3">
      <c r="A486" s="69"/>
      <c r="B486"/>
      <c r="C486" s="63"/>
    </row>
    <row r="487" spans="1:3">
      <c r="A487" s="69"/>
      <c r="B487"/>
      <c r="C487" s="63"/>
    </row>
    <row r="488" spans="1:3">
      <c r="A488" s="69"/>
      <c r="B488"/>
      <c r="C488" s="63"/>
    </row>
    <row r="489" spans="1:3">
      <c r="A489" s="69"/>
      <c r="B489"/>
      <c r="C489" s="63"/>
    </row>
    <row r="490" spans="1:3">
      <c r="A490" s="69"/>
      <c r="B490"/>
      <c r="C490" s="63"/>
    </row>
    <row r="491" spans="1:3">
      <c r="A491" s="69"/>
      <c r="B491"/>
      <c r="C491" s="63"/>
    </row>
    <row r="492" spans="1:3">
      <c r="A492" s="69"/>
      <c r="B492"/>
      <c r="C492" s="63"/>
    </row>
    <row r="493" spans="1:3">
      <c r="A493" s="69"/>
      <c r="B493"/>
      <c r="C493" s="63"/>
    </row>
    <row r="494" spans="1:3">
      <c r="A494" s="69"/>
      <c r="B494"/>
      <c r="C494" s="63"/>
    </row>
    <row r="495" spans="1:3">
      <c r="A495" s="69"/>
      <c r="B495"/>
      <c r="C495" s="63"/>
    </row>
    <row r="496" spans="1:3">
      <c r="A496" s="69"/>
      <c r="B496"/>
      <c r="C496" s="63"/>
    </row>
    <row r="497" spans="1:3">
      <c r="A497" s="69"/>
      <c r="B497"/>
      <c r="C497" s="63"/>
    </row>
    <row r="498" spans="1:3">
      <c r="A498" s="69"/>
      <c r="B498"/>
      <c r="C498" s="63"/>
    </row>
    <row r="499" spans="1:3">
      <c r="A499" s="69"/>
      <c r="B499"/>
      <c r="C499" s="63"/>
    </row>
    <row r="500" spans="1:3">
      <c r="A500" s="69"/>
      <c r="B500"/>
      <c r="C500" s="63"/>
    </row>
    <row r="501" spans="1:3">
      <c r="A501" s="69"/>
      <c r="B501"/>
      <c r="C501" s="63"/>
    </row>
    <row r="502" spans="1:3">
      <c r="A502" s="69"/>
      <c r="B502"/>
      <c r="C502" s="63"/>
    </row>
    <row r="503" spans="1:3">
      <c r="A503" s="69"/>
      <c r="B503"/>
      <c r="C503" s="63"/>
    </row>
    <row r="504" spans="1:3">
      <c r="A504" s="69"/>
      <c r="B504"/>
      <c r="C504" s="63"/>
    </row>
    <row r="505" spans="1:3">
      <c r="A505" s="69"/>
      <c r="B505"/>
      <c r="C505" s="63"/>
    </row>
    <row r="506" spans="1:3">
      <c r="A506" s="69"/>
      <c r="B506"/>
      <c r="C506" s="63"/>
    </row>
    <row r="507" spans="1:3">
      <c r="A507" s="69"/>
      <c r="B507"/>
      <c r="C507" s="63"/>
    </row>
    <row r="508" spans="1:3">
      <c r="A508" s="69"/>
      <c r="B508"/>
      <c r="C508" s="63"/>
    </row>
    <row r="509" spans="1:3">
      <c r="A509" s="69"/>
      <c r="B509"/>
      <c r="C509" s="63"/>
    </row>
    <row r="510" spans="1:3">
      <c r="A510" s="69"/>
      <c r="B510"/>
      <c r="C510" s="63"/>
    </row>
    <row r="511" spans="1:3">
      <c r="A511" s="69"/>
      <c r="B511"/>
      <c r="C511" s="63"/>
    </row>
    <row r="512" spans="1:3">
      <c r="A512" s="69"/>
      <c r="B512"/>
      <c r="C512" s="63"/>
    </row>
    <row r="513" spans="1:3">
      <c r="A513" s="69"/>
      <c r="B513"/>
      <c r="C513" s="63"/>
    </row>
    <row r="514" spans="1:3">
      <c r="A514" s="69"/>
      <c r="B514"/>
      <c r="C514" s="63"/>
    </row>
    <row r="515" spans="1:3">
      <c r="A515" s="69"/>
      <c r="B515"/>
      <c r="C515" s="63"/>
    </row>
    <row r="516" spans="1:3">
      <c r="A516" s="69"/>
      <c r="B516"/>
      <c r="C516" s="63"/>
    </row>
    <row r="517" spans="1:3">
      <c r="A517" s="69"/>
      <c r="B517"/>
      <c r="C517" s="63"/>
    </row>
    <row r="518" spans="1:3">
      <c r="A518" s="69"/>
      <c r="B518"/>
      <c r="C518" s="63"/>
    </row>
    <row r="519" spans="1:3">
      <c r="A519" s="69"/>
      <c r="B519"/>
      <c r="C519" s="63"/>
    </row>
    <row r="520" spans="1:3">
      <c r="A520" s="69"/>
      <c r="B520"/>
      <c r="C520" s="63"/>
    </row>
    <row r="521" spans="1:3">
      <c r="A521" s="69"/>
      <c r="B521"/>
      <c r="C521" s="63"/>
    </row>
    <row r="522" spans="1:3">
      <c r="A522" s="69"/>
      <c r="B522"/>
      <c r="C522" s="63"/>
    </row>
    <row r="523" spans="1:3">
      <c r="A523" s="69"/>
      <c r="B523"/>
      <c r="C523" s="63"/>
    </row>
    <row r="524" spans="1:3">
      <c r="A524" s="69"/>
      <c r="B524"/>
      <c r="C524" s="63"/>
    </row>
    <row r="525" spans="1:3">
      <c r="A525" s="69"/>
      <c r="B525"/>
      <c r="C525" s="63"/>
    </row>
    <row r="526" spans="1:3">
      <c r="A526" s="69"/>
      <c r="B526"/>
      <c r="C526" s="63"/>
    </row>
    <row r="527" spans="1:3">
      <c r="A527" s="69"/>
      <c r="B527"/>
      <c r="C527" s="63"/>
    </row>
    <row r="528" spans="1:3">
      <c r="A528" s="69"/>
      <c r="B528"/>
      <c r="C528" s="63"/>
    </row>
    <row r="529" spans="1:3">
      <c r="A529" s="69"/>
      <c r="B529"/>
      <c r="C529" s="63"/>
    </row>
    <row r="530" spans="1:3">
      <c r="A530" s="69"/>
      <c r="B530"/>
      <c r="C530" s="63"/>
    </row>
    <row r="531" spans="1:3">
      <c r="A531" s="69"/>
      <c r="B531"/>
      <c r="C531" s="63"/>
    </row>
    <row r="532" spans="1:3">
      <c r="A532" s="69"/>
      <c r="B532"/>
      <c r="C532" s="63"/>
    </row>
    <row r="533" spans="1:3">
      <c r="A533" s="69"/>
      <c r="B533"/>
      <c r="C533" s="63"/>
    </row>
    <row r="534" spans="1:3">
      <c r="A534" s="69"/>
      <c r="B534"/>
      <c r="C534" s="63"/>
    </row>
    <row r="535" spans="1:3">
      <c r="A535" s="69"/>
      <c r="B535"/>
      <c r="C535" s="63"/>
    </row>
    <row r="536" spans="1:3">
      <c r="A536" s="69"/>
      <c r="B536"/>
      <c r="C536" s="63"/>
    </row>
    <row r="537" spans="1:3">
      <c r="A537" s="69"/>
      <c r="B537"/>
      <c r="C537" s="63"/>
    </row>
    <row r="538" spans="1:3">
      <c r="A538" s="69"/>
      <c r="B538"/>
      <c r="C538" s="63"/>
    </row>
    <row r="539" spans="1:3">
      <c r="A539" s="69"/>
      <c r="B539"/>
      <c r="C539" s="63"/>
    </row>
    <row r="540" spans="1:3">
      <c r="A540" s="69"/>
      <c r="B540"/>
      <c r="C540" s="63"/>
    </row>
    <row r="541" spans="1:3">
      <c r="A541" s="69"/>
      <c r="B541"/>
      <c r="C541" s="63"/>
    </row>
    <row r="542" spans="1:3">
      <c r="A542" s="69"/>
      <c r="B542"/>
      <c r="C542" s="63"/>
    </row>
    <row r="543" spans="1:3">
      <c r="A543" s="69"/>
      <c r="B543"/>
      <c r="C543" s="63"/>
    </row>
    <row r="544" spans="1:3">
      <c r="A544" s="69"/>
      <c r="B544"/>
      <c r="C544" s="63"/>
    </row>
    <row r="545" spans="1:3">
      <c r="A545" s="69"/>
      <c r="B545"/>
      <c r="C545" s="63"/>
    </row>
    <row r="546" spans="1:3">
      <c r="A546" s="69"/>
      <c r="B546"/>
      <c r="C546" s="63"/>
    </row>
    <row r="547" spans="1:3">
      <c r="A547" s="69"/>
      <c r="B547"/>
      <c r="C547" s="63"/>
    </row>
    <row r="548" spans="1:3">
      <c r="A548" s="69"/>
      <c r="B548"/>
      <c r="C548" s="63"/>
    </row>
    <row r="549" spans="1:3">
      <c r="A549" s="69"/>
      <c r="B549"/>
      <c r="C549" s="63"/>
    </row>
    <row r="550" spans="1:3">
      <c r="A550" s="69"/>
      <c r="B550"/>
      <c r="C550" s="63"/>
    </row>
    <row r="551" spans="1:3">
      <c r="A551" s="69"/>
      <c r="B551"/>
      <c r="C551" s="63"/>
    </row>
    <row r="552" spans="1:3">
      <c r="A552" s="69"/>
      <c r="B552"/>
      <c r="C552" s="63"/>
    </row>
    <row r="553" spans="1:3">
      <c r="A553" s="69"/>
      <c r="B553"/>
      <c r="C553" s="63"/>
    </row>
    <row r="554" spans="1:3">
      <c r="A554" s="69"/>
      <c r="B554"/>
      <c r="C554" s="63"/>
    </row>
    <row r="555" spans="1:3">
      <c r="A555" s="69"/>
      <c r="B555"/>
      <c r="C555" s="63"/>
    </row>
    <row r="556" spans="1:3">
      <c r="A556" s="69"/>
      <c r="B556"/>
      <c r="C556" s="63"/>
    </row>
    <row r="557" spans="1:3">
      <c r="A557" s="69"/>
      <c r="B557"/>
      <c r="C557" s="63"/>
    </row>
    <row r="558" spans="1:3">
      <c r="A558" s="69"/>
      <c r="B558"/>
      <c r="C558" s="63"/>
    </row>
    <row r="559" spans="1:3">
      <c r="A559" s="69"/>
      <c r="B559"/>
      <c r="C559" s="63"/>
    </row>
    <row r="560" spans="1:3">
      <c r="A560" s="69"/>
      <c r="B560"/>
      <c r="C560" s="63"/>
    </row>
    <row r="561" spans="1:3">
      <c r="A561" s="69"/>
      <c r="B561"/>
      <c r="C561" s="63"/>
    </row>
    <row r="562" spans="1:3">
      <c r="A562" s="69"/>
      <c r="B562"/>
      <c r="C562" s="63"/>
    </row>
    <row r="563" spans="1:3">
      <c r="A563" s="69"/>
      <c r="B563"/>
      <c r="C563" s="63"/>
    </row>
    <row r="564" spans="1:3">
      <c r="A564" s="69"/>
      <c r="B564"/>
      <c r="C564" s="63"/>
    </row>
    <row r="565" spans="1:3">
      <c r="A565" s="69"/>
      <c r="B565"/>
      <c r="C565" s="63"/>
    </row>
    <row r="566" spans="1:3">
      <c r="A566" s="69"/>
      <c r="B566"/>
      <c r="C566" s="63"/>
    </row>
    <row r="567" spans="1:3">
      <c r="A567" s="69"/>
      <c r="B567"/>
      <c r="C567" s="63"/>
    </row>
    <row r="568" spans="1:3">
      <c r="A568" s="69"/>
      <c r="B568"/>
      <c r="C568" s="63"/>
    </row>
    <row r="569" spans="1:3">
      <c r="A569" s="69"/>
      <c r="B569"/>
      <c r="C569" s="63"/>
    </row>
    <row r="570" spans="1:3">
      <c r="A570" s="69"/>
      <c r="B570"/>
      <c r="C570" s="63"/>
    </row>
    <row r="571" spans="1:3">
      <c r="A571" s="69"/>
      <c r="B571"/>
      <c r="C571" s="63"/>
    </row>
    <row r="572" spans="1:3">
      <c r="A572" s="69"/>
      <c r="B572"/>
      <c r="C572" s="63"/>
    </row>
    <row r="573" spans="1:3">
      <c r="A573" s="69"/>
      <c r="B573"/>
      <c r="C573" s="63"/>
    </row>
    <row r="574" spans="1:3">
      <c r="A574" s="69"/>
      <c r="B574"/>
      <c r="C574" s="63"/>
    </row>
    <row r="575" spans="1:3">
      <c r="A575" s="69"/>
      <c r="B575"/>
      <c r="C575" s="63"/>
    </row>
    <row r="576" spans="1:3">
      <c r="A576" s="69"/>
      <c r="B576"/>
      <c r="C576" s="63"/>
    </row>
    <row r="577" spans="1:3">
      <c r="A577" s="69"/>
      <c r="B577"/>
      <c r="C577" s="63"/>
    </row>
    <row r="578" spans="1:3">
      <c r="A578" s="69"/>
      <c r="B578"/>
      <c r="C578" s="63"/>
    </row>
    <row r="579" spans="1:3">
      <c r="A579" s="69"/>
      <c r="B579"/>
      <c r="C579" s="63"/>
    </row>
    <row r="580" spans="1:3">
      <c r="A580" s="69"/>
      <c r="B580"/>
      <c r="C580" s="63"/>
    </row>
    <row r="581" spans="1:3">
      <c r="A581" s="69"/>
      <c r="B581"/>
      <c r="C581" s="63"/>
    </row>
    <row r="582" spans="1:3">
      <c r="A582" s="69"/>
      <c r="B582"/>
      <c r="C582" s="63"/>
    </row>
    <row r="583" spans="1:3">
      <c r="A583" s="69"/>
      <c r="B583"/>
      <c r="C583" s="63"/>
    </row>
    <row r="584" spans="1:3">
      <c r="A584" s="69"/>
      <c r="B584"/>
      <c r="C584" s="63"/>
    </row>
    <row r="585" spans="1:3">
      <c r="A585" s="69"/>
      <c r="B585"/>
      <c r="C585" s="63"/>
    </row>
    <row r="586" spans="1:3">
      <c r="A586" s="69"/>
      <c r="B586"/>
      <c r="C586" s="63"/>
    </row>
    <row r="587" spans="1:3">
      <c r="A587" s="69"/>
      <c r="B587"/>
      <c r="C587" s="63"/>
    </row>
    <row r="588" spans="1:3">
      <c r="A588" s="69"/>
      <c r="B588"/>
      <c r="C588" s="63"/>
    </row>
    <row r="589" spans="1:3">
      <c r="A589" s="69"/>
      <c r="B589"/>
      <c r="C589" s="63"/>
    </row>
    <row r="590" spans="1:3">
      <c r="A590" s="69"/>
      <c r="B590"/>
      <c r="C590" s="63"/>
    </row>
    <row r="591" spans="1:3">
      <c r="A591" s="69"/>
      <c r="B591"/>
      <c r="C591" s="63"/>
    </row>
    <row r="592" spans="1:3">
      <c r="A592" s="69"/>
      <c r="B592"/>
      <c r="C592" s="63"/>
    </row>
    <row r="593" spans="1:3">
      <c r="A593" s="69"/>
      <c r="B593"/>
      <c r="C593" s="63"/>
    </row>
    <row r="594" spans="1:3">
      <c r="A594" s="69"/>
      <c r="B594"/>
      <c r="C594" s="63"/>
    </row>
    <row r="595" spans="1:3">
      <c r="A595" s="69"/>
      <c r="B595"/>
      <c r="C595" s="63"/>
    </row>
    <row r="596" spans="1:3">
      <c r="A596" s="69"/>
      <c r="B596"/>
      <c r="C596" s="63"/>
    </row>
    <row r="597" spans="1:3">
      <c r="A597" s="69"/>
      <c r="B597"/>
      <c r="C597" s="63"/>
    </row>
    <row r="598" spans="1:3">
      <c r="A598" s="69"/>
      <c r="B598"/>
      <c r="C598" s="63"/>
    </row>
    <row r="599" spans="1:3">
      <c r="A599" s="69"/>
      <c r="B599"/>
      <c r="C599" s="63"/>
    </row>
    <row r="600" spans="1:3">
      <c r="A600" s="69"/>
      <c r="B600"/>
      <c r="C600" s="63"/>
    </row>
    <row r="601" spans="1:3">
      <c r="A601" s="69"/>
      <c r="B601"/>
      <c r="C601" s="63"/>
    </row>
    <row r="602" spans="1:3">
      <c r="A602" s="69"/>
      <c r="B602"/>
      <c r="C602" s="63"/>
    </row>
    <row r="603" spans="1:3">
      <c r="A603" s="69"/>
      <c r="B603"/>
      <c r="C603" s="63"/>
    </row>
    <row r="604" spans="1:3">
      <c r="A604" s="69"/>
      <c r="B604"/>
      <c r="C604" s="63"/>
    </row>
    <row r="605" spans="1:3">
      <c r="A605" s="69"/>
      <c r="B605"/>
      <c r="C605" s="63"/>
    </row>
    <row r="606" spans="1:3">
      <c r="A606" s="69"/>
      <c r="B606"/>
      <c r="C606" s="63"/>
    </row>
    <row r="607" spans="1:3">
      <c r="A607" s="69"/>
      <c r="B607"/>
      <c r="C607" s="63"/>
    </row>
    <row r="608" spans="1:3">
      <c r="A608" s="69"/>
      <c r="B608"/>
      <c r="C608" s="63"/>
    </row>
    <row r="609" spans="1:3">
      <c r="A609" s="69"/>
      <c r="B609"/>
      <c r="C609" s="63"/>
    </row>
    <row r="610" spans="1:3">
      <c r="A610" s="69"/>
      <c r="B610"/>
      <c r="C610" s="63"/>
    </row>
    <row r="611" spans="1:3">
      <c r="A611" s="69"/>
      <c r="B611"/>
      <c r="C611" s="63"/>
    </row>
    <row r="612" spans="1:3">
      <c r="A612" s="69"/>
      <c r="B612"/>
      <c r="C612" s="63"/>
    </row>
    <row r="613" spans="1:3">
      <c r="A613" s="69"/>
      <c r="B613"/>
      <c r="C613" s="63"/>
    </row>
    <row r="614" spans="1:3">
      <c r="A614" s="69"/>
      <c r="B614"/>
      <c r="C614" s="63"/>
    </row>
    <row r="615" spans="1:3">
      <c r="A615" s="69"/>
      <c r="B615"/>
      <c r="C615" s="63"/>
    </row>
    <row r="616" spans="1:3">
      <c r="A616" s="69"/>
      <c r="B616"/>
      <c r="C616" s="63"/>
    </row>
    <row r="617" spans="1:3">
      <c r="A617" s="69"/>
      <c r="B617"/>
      <c r="C617" s="63"/>
    </row>
    <row r="618" spans="1:3">
      <c r="A618" s="69"/>
      <c r="B618"/>
      <c r="C618" s="63"/>
    </row>
    <row r="619" spans="1:3">
      <c r="A619" s="69"/>
      <c r="B619"/>
      <c r="C619" s="63"/>
    </row>
    <row r="620" spans="1:3">
      <c r="A620" s="69"/>
      <c r="B620"/>
      <c r="C620" s="63"/>
    </row>
    <row r="621" spans="1:3">
      <c r="A621" s="69"/>
      <c r="B621"/>
      <c r="C621" s="63"/>
    </row>
    <row r="622" spans="1:3">
      <c r="A622" s="69"/>
      <c r="B622"/>
      <c r="C622" s="63"/>
    </row>
    <row r="623" spans="1:3">
      <c r="A623" s="69"/>
      <c r="B623"/>
      <c r="C623" s="63"/>
    </row>
    <row r="624" spans="1:3">
      <c r="A624" s="69"/>
      <c r="B624"/>
      <c r="C624" s="63"/>
    </row>
    <row r="625" spans="1:3">
      <c r="A625" s="69"/>
      <c r="B625"/>
      <c r="C625" s="63"/>
    </row>
    <row r="626" spans="1:3">
      <c r="A626" s="69"/>
      <c r="B626"/>
      <c r="C626" s="63"/>
    </row>
    <row r="627" spans="1:3">
      <c r="A627" s="69"/>
      <c r="B627"/>
      <c r="C627" s="63"/>
    </row>
    <row r="628" spans="1:3">
      <c r="A628" s="69"/>
      <c r="B628"/>
      <c r="C628" s="63"/>
    </row>
    <row r="629" spans="1:3">
      <c r="A629" s="69"/>
      <c r="B629"/>
      <c r="C629" s="63"/>
    </row>
    <row r="630" spans="1:3">
      <c r="A630" s="69"/>
      <c r="B630"/>
      <c r="C630" s="63"/>
    </row>
    <row r="631" spans="1:3">
      <c r="A631" s="69"/>
      <c r="B631"/>
      <c r="C631" s="63"/>
    </row>
    <row r="632" spans="1:3">
      <c r="A632" s="69"/>
      <c r="B632"/>
      <c r="C632" s="63"/>
    </row>
    <row r="633" spans="1:3">
      <c r="A633" s="69"/>
      <c r="B633"/>
      <c r="C633" s="63"/>
    </row>
    <row r="634" spans="1:3">
      <c r="A634" s="69"/>
      <c r="B634"/>
      <c r="C634" s="63"/>
    </row>
    <row r="635" spans="1:3">
      <c r="A635" s="69"/>
      <c r="B635"/>
      <c r="C635" s="63"/>
    </row>
    <row r="636" spans="1:3">
      <c r="A636" s="69"/>
      <c r="B636"/>
      <c r="C636" s="63"/>
    </row>
    <row r="637" spans="1:3">
      <c r="A637" s="69"/>
      <c r="B637"/>
      <c r="C637" s="63"/>
    </row>
    <row r="638" spans="1:3">
      <c r="A638" s="69"/>
      <c r="B638"/>
      <c r="C638" s="63"/>
    </row>
    <row r="639" spans="1:3">
      <c r="A639" s="69"/>
      <c r="B639"/>
      <c r="C639" s="63"/>
    </row>
    <row r="640" spans="1:3">
      <c r="A640" s="69"/>
      <c r="B640"/>
      <c r="C640" s="63"/>
    </row>
    <row r="641" spans="1:3">
      <c r="A641" s="69"/>
      <c r="B641"/>
      <c r="C641" s="63"/>
    </row>
    <row r="642" spans="1:3">
      <c r="A642" s="69"/>
      <c r="B642"/>
      <c r="C642" s="63"/>
    </row>
    <row r="643" spans="1:3">
      <c r="A643" s="69"/>
      <c r="B643"/>
      <c r="C643" s="63"/>
    </row>
    <row r="644" spans="1:3">
      <c r="A644" s="69"/>
      <c r="B644"/>
      <c r="C644" s="63"/>
    </row>
    <row r="645" spans="1:3">
      <c r="A645" s="69"/>
      <c r="B645"/>
      <c r="C645" s="63"/>
    </row>
    <row r="646" spans="1:3">
      <c r="A646" s="69"/>
      <c r="B646"/>
      <c r="C646" s="63"/>
    </row>
    <row r="647" spans="1:3">
      <c r="A647" s="69"/>
      <c r="B647"/>
      <c r="C647" s="63"/>
    </row>
    <row r="648" spans="1:3">
      <c r="A648" s="69"/>
      <c r="B648"/>
      <c r="C648" s="63"/>
    </row>
    <row r="649" spans="1:3">
      <c r="A649" s="69"/>
      <c r="B649"/>
      <c r="C649" s="63"/>
    </row>
    <row r="650" spans="1:3">
      <c r="A650" s="69"/>
      <c r="B650"/>
      <c r="C650" s="63"/>
    </row>
    <row r="651" spans="1:3">
      <c r="A651" s="69"/>
      <c r="B651"/>
      <c r="C651" s="63"/>
    </row>
    <row r="652" spans="1:3">
      <c r="A652" s="69"/>
      <c r="B652"/>
      <c r="C652" s="63"/>
    </row>
    <row r="653" spans="1:3">
      <c r="A653" s="69"/>
      <c r="B653"/>
      <c r="C653" s="63"/>
    </row>
    <row r="654" spans="1:3">
      <c r="A654" s="69"/>
      <c r="B654"/>
      <c r="C654" s="63"/>
    </row>
    <row r="655" spans="1:3">
      <c r="A655" s="69"/>
      <c r="B655"/>
      <c r="C655" s="63"/>
    </row>
    <row r="656" spans="1:3">
      <c r="A656" s="69"/>
      <c r="B656"/>
      <c r="C656" s="63"/>
    </row>
    <row r="657" spans="1:3">
      <c r="A657" s="69"/>
      <c r="B657"/>
      <c r="C657" s="63"/>
    </row>
    <row r="658" spans="1:3">
      <c r="A658" s="69"/>
      <c r="B658"/>
      <c r="C658" s="63"/>
    </row>
    <row r="659" spans="1:3">
      <c r="A659" s="69"/>
      <c r="B659"/>
      <c r="C659" s="63"/>
    </row>
    <row r="660" spans="1:3">
      <c r="A660" s="69"/>
      <c r="B660"/>
      <c r="C660" s="63"/>
    </row>
    <row r="661" spans="1:3">
      <c r="A661" s="69"/>
      <c r="B661"/>
      <c r="C661" s="63"/>
    </row>
    <row r="662" spans="1:3">
      <c r="A662" s="69"/>
      <c r="B662"/>
      <c r="C662" s="63"/>
    </row>
    <row r="663" spans="1:3">
      <c r="A663" s="69"/>
      <c r="B663"/>
      <c r="C663" s="63"/>
    </row>
    <row r="664" spans="1:3">
      <c r="A664" s="69"/>
      <c r="B664"/>
      <c r="C664" s="63"/>
    </row>
    <row r="665" spans="1:3">
      <c r="A665" s="69"/>
      <c r="B665"/>
      <c r="C665" s="63"/>
    </row>
    <row r="666" spans="1:3">
      <c r="A666" s="69"/>
      <c r="B666"/>
      <c r="C666" s="63"/>
    </row>
    <row r="667" spans="1:3">
      <c r="A667" s="69"/>
      <c r="B667"/>
      <c r="C667" s="63"/>
    </row>
    <row r="668" spans="1:3">
      <c r="A668" s="69"/>
      <c r="B668"/>
      <c r="C668" s="63"/>
    </row>
    <row r="669" spans="1:3">
      <c r="A669" s="69"/>
      <c r="B669"/>
      <c r="C669" s="63"/>
    </row>
    <row r="670" spans="1:3">
      <c r="A670" s="69"/>
      <c r="B670"/>
      <c r="C670" s="63"/>
    </row>
    <row r="671" spans="1:3">
      <c r="A671" s="69"/>
      <c r="B671"/>
      <c r="C671" s="63"/>
    </row>
    <row r="672" spans="1:3">
      <c r="A672" s="69"/>
      <c r="B672"/>
      <c r="C672" s="63"/>
    </row>
    <row r="673" spans="1:3">
      <c r="A673" s="69"/>
      <c r="B673"/>
      <c r="C673" s="63"/>
    </row>
    <row r="674" spans="1:3">
      <c r="A674" s="69"/>
      <c r="B674"/>
      <c r="C674" s="63"/>
    </row>
    <row r="675" spans="1:3">
      <c r="A675" s="69"/>
      <c r="B675"/>
      <c r="C675" s="63"/>
    </row>
    <row r="676" spans="1:3">
      <c r="A676" s="69"/>
      <c r="B676"/>
      <c r="C676" s="63"/>
    </row>
    <row r="677" spans="1:3">
      <c r="A677" s="69"/>
      <c r="B677"/>
      <c r="C677" s="63"/>
    </row>
    <row r="678" spans="1:3">
      <c r="A678" s="69"/>
      <c r="B678"/>
      <c r="C678" s="63"/>
    </row>
    <row r="679" spans="1:3">
      <c r="A679" s="69"/>
      <c r="B679"/>
      <c r="C679" s="63"/>
    </row>
    <row r="680" spans="1:3">
      <c r="A680" s="69"/>
      <c r="B680"/>
      <c r="C680" s="63"/>
    </row>
    <row r="681" spans="1:3">
      <c r="A681" s="69"/>
      <c r="B681"/>
      <c r="C681" s="63"/>
    </row>
    <row r="682" spans="1:3">
      <c r="A682" s="69"/>
      <c r="B682"/>
      <c r="C682" s="63"/>
    </row>
    <row r="683" spans="1:3">
      <c r="A683" s="69"/>
      <c r="B683"/>
      <c r="C683" s="63"/>
    </row>
    <row r="684" spans="1:3">
      <c r="A684" s="69"/>
      <c r="B684"/>
      <c r="C684" s="63"/>
    </row>
    <row r="685" spans="1:3">
      <c r="A685" s="69"/>
      <c r="B685"/>
      <c r="C685" s="63"/>
    </row>
    <row r="686" spans="1:3">
      <c r="A686" s="69"/>
      <c r="B686"/>
      <c r="C686" s="63"/>
    </row>
    <row r="687" spans="1:3">
      <c r="A687" s="69"/>
      <c r="B687"/>
      <c r="C687" s="63"/>
    </row>
    <row r="688" spans="1:3">
      <c r="A688" s="69"/>
      <c r="B688"/>
      <c r="C688" s="63"/>
    </row>
    <row r="689" spans="1:3">
      <c r="A689" s="69"/>
      <c r="B689"/>
      <c r="C689" s="63"/>
    </row>
    <row r="690" spans="1:3">
      <c r="A690" s="69"/>
      <c r="B690"/>
      <c r="C690" s="63"/>
    </row>
    <row r="691" spans="1:3">
      <c r="A691" s="69"/>
      <c r="B691"/>
      <c r="C691" s="63"/>
    </row>
    <row r="692" spans="1:3">
      <c r="A692" s="69"/>
      <c r="B692"/>
      <c r="C692" s="63"/>
    </row>
    <row r="693" spans="1:3">
      <c r="A693" s="69"/>
      <c r="B693"/>
      <c r="C693" s="63"/>
    </row>
    <row r="694" spans="1:3">
      <c r="A694" s="69"/>
      <c r="B694"/>
      <c r="C694" s="63"/>
    </row>
    <row r="695" spans="1:3">
      <c r="A695" s="69"/>
      <c r="B695"/>
      <c r="C695" s="63"/>
    </row>
    <row r="696" spans="1:3">
      <c r="A696" s="69"/>
      <c r="B696"/>
      <c r="C696" s="63"/>
    </row>
    <row r="697" spans="1:3">
      <c r="A697" s="69"/>
      <c r="B697"/>
      <c r="C697" s="63"/>
    </row>
    <row r="698" spans="1:3">
      <c r="A698" s="69"/>
      <c r="B698"/>
      <c r="C698" s="63"/>
    </row>
    <row r="699" spans="1:3">
      <c r="A699" s="69"/>
      <c r="B699"/>
      <c r="C699" s="63"/>
    </row>
    <row r="700" spans="1:3">
      <c r="A700" s="69"/>
      <c r="B700"/>
      <c r="C700" s="63"/>
    </row>
    <row r="701" spans="1:3">
      <c r="A701" s="69"/>
      <c r="B701"/>
      <c r="C701" s="63"/>
    </row>
    <row r="702" spans="1:3">
      <c r="A702" s="69"/>
      <c r="B702"/>
      <c r="C702" s="63"/>
    </row>
    <row r="703" spans="1:3">
      <c r="A703" s="69"/>
      <c r="B703"/>
      <c r="C703" s="63"/>
    </row>
    <row r="704" spans="1:3">
      <c r="A704" s="69"/>
      <c r="B704"/>
      <c r="C704" s="63"/>
    </row>
    <row r="705" spans="1:3">
      <c r="A705" s="69"/>
      <c r="B705"/>
      <c r="C705" s="63"/>
    </row>
    <row r="706" spans="1:3">
      <c r="A706" s="69"/>
      <c r="B706"/>
      <c r="C706" s="63"/>
    </row>
    <row r="707" spans="1:3">
      <c r="A707" s="69"/>
      <c r="B707"/>
      <c r="C707" s="63"/>
    </row>
    <row r="708" spans="1:3">
      <c r="A708" s="69"/>
      <c r="B708"/>
      <c r="C708" s="63"/>
    </row>
    <row r="709" spans="1:3">
      <c r="A709" s="69"/>
      <c r="B709"/>
      <c r="C709" s="63"/>
    </row>
    <row r="710" spans="1:3">
      <c r="A710" s="69"/>
      <c r="B710"/>
      <c r="C710" s="63"/>
    </row>
    <row r="711" spans="1:3">
      <c r="A711" s="69"/>
      <c r="B711"/>
      <c r="C711" s="63"/>
    </row>
    <row r="712" spans="1:3">
      <c r="A712" s="69"/>
      <c r="B712"/>
      <c r="C712" s="63"/>
    </row>
    <row r="713" spans="1:3">
      <c r="A713" s="69"/>
      <c r="B713"/>
      <c r="C713" s="63"/>
    </row>
    <row r="714" spans="1:3">
      <c r="A714" s="69"/>
      <c r="B714"/>
      <c r="C714" s="63"/>
    </row>
    <row r="715" spans="1:3">
      <c r="A715" s="69"/>
      <c r="B715"/>
      <c r="C715" s="63"/>
    </row>
    <row r="716" spans="1:3">
      <c r="A716" s="69"/>
      <c r="B716"/>
      <c r="C716" s="63"/>
    </row>
    <row r="717" spans="1:3">
      <c r="A717" s="69"/>
      <c r="B717"/>
      <c r="C717" s="63"/>
    </row>
    <row r="718" spans="1:3">
      <c r="A718" s="69"/>
      <c r="B718"/>
      <c r="C718" s="63"/>
    </row>
    <row r="719" spans="1:3">
      <c r="A719" s="69"/>
      <c r="B719"/>
      <c r="C719" s="63"/>
    </row>
    <row r="720" spans="1:3">
      <c r="A720" s="69"/>
      <c r="B720"/>
      <c r="C720" s="63"/>
    </row>
    <row r="721" spans="1:3">
      <c r="A721" s="69"/>
      <c r="B721"/>
      <c r="C721" s="63"/>
    </row>
    <row r="722" spans="1:3">
      <c r="A722" s="69"/>
      <c r="B722"/>
      <c r="C722" s="63"/>
    </row>
    <row r="723" spans="1:3">
      <c r="A723" s="69"/>
      <c r="B723"/>
      <c r="C723" s="63"/>
    </row>
    <row r="724" spans="1:3">
      <c r="A724" s="69"/>
      <c r="B724"/>
      <c r="C724" s="63"/>
    </row>
    <row r="725" spans="1:3">
      <c r="A725" s="69"/>
      <c r="B725"/>
      <c r="C725" s="63"/>
    </row>
    <row r="726" spans="1:3">
      <c r="A726" s="69"/>
      <c r="B726"/>
      <c r="C726" s="63"/>
    </row>
    <row r="727" spans="1:3">
      <c r="A727" s="69"/>
      <c r="B727"/>
      <c r="C727" s="63"/>
    </row>
    <row r="728" spans="1:3">
      <c r="A728" s="69"/>
      <c r="B728"/>
      <c r="C728" s="63"/>
    </row>
    <row r="729" spans="1:3">
      <c r="A729" s="69"/>
      <c r="B729"/>
      <c r="C729" s="63"/>
    </row>
    <row r="730" spans="1:3">
      <c r="A730" s="69"/>
      <c r="B730"/>
      <c r="C730" s="63"/>
    </row>
    <row r="731" spans="1:3">
      <c r="A731" s="69"/>
      <c r="B731"/>
      <c r="C731" s="63"/>
    </row>
    <row r="732" spans="1:3">
      <c r="A732" s="69"/>
      <c r="B732"/>
      <c r="C732" s="63"/>
    </row>
    <row r="733" spans="1:3">
      <c r="A733" s="69"/>
      <c r="B733"/>
      <c r="C733" s="63"/>
    </row>
    <row r="734" spans="1:3">
      <c r="A734" s="69"/>
      <c r="B734"/>
      <c r="C734" s="63"/>
    </row>
    <row r="735" spans="1:3">
      <c r="A735" s="69"/>
      <c r="B735"/>
      <c r="C735" s="63"/>
    </row>
    <row r="736" spans="1:3">
      <c r="A736" s="69"/>
      <c r="B736"/>
      <c r="C736" s="63"/>
    </row>
    <row r="737" spans="1:3">
      <c r="A737" s="69"/>
      <c r="B737"/>
      <c r="C737" s="63"/>
    </row>
    <row r="738" spans="1:3">
      <c r="A738" s="69"/>
      <c r="B738"/>
      <c r="C738" s="63"/>
    </row>
    <row r="739" spans="1:3">
      <c r="A739" s="69"/>
      <c r="B739"/>
      <c r="C739" s="63"/>
    </row>
    <row r="740" spans="1:3">
      <c r="A740" s="69"/>
      <c r="B740"/>
      <c r="C740" s="63"/>
    </row>
    <row r="741" spans="1:3">
      <c r="A741" s="69"/>
      <c r="B741"/>
      <c r="C741" s="63"/>
    </row>
    <row r="742" spans="1:3">
      <c r="A742" s="69"/>
      <c r="B742"/>
      <c r="C742" s="63"/>
    </row>
    <row r="743" spans="1:3">
      <c r="A743" s="69"/>
      <c r="B743"/>
      <c r="C743" s="63"/>
    </row>
    <row r="744" spans="1:3">
      <c r="A744" s="69"/>
      <c r="B744"/>
      <c r="C744" s="63"/>
    </row>
    <row r="745" spans="1:3">
      <c r="A745" s="69"/>
      <c r="B745"/>
      <c r="C745" s="63"/>
    </row>
    <row r="746" spans="1:3">
      <c r="A746" s="69"/>
      <c r="B746"/>
      <c r="C746" s="63"/>
    </row>
    <row r="747" spans="1:3">
      <c r="A747" s="69"/>
      <c r="B747"/>
      <c r="C747" s="63"/>
    </row>
    <row r="748" spans="1:3">
      <c r="A748" s="69"/>
      <c r="B748"/>
      <c r="C748" s="63"/>
    </row>
    <row r="749" spans="1:3">
      <c r="A749" s="69"/>
      <c r="B749"/>
      <c r="C749" s="63"/>
    </row>
    <row r="750" spans="1:3">
      <c r="A750" s="69"/>
      <c r="B750"/>
      <c r="C750" s="63"/>
    </row>
    <row r="751" spans="1:3">
      <c r="A751" s="69"/>
      <c r="B751"/>
      <c r="C751" s="63"/>
    </row>
    <row r="752" spans="1:3">
      <c r="A752" s="69"/>
      <c r="B752"/>
      <c r="C752" s="63"/>
    </row>
    <row r="753" spans="1:3">
      <c r="A753" s="69"/>
      <c r="B753"/>
      <c r="C753" s="63"/>
    </row>
    <row r="754" spans="1:3">
      <c r="A754" s="69"/>
      <c r="B754"/>
      <c r="C754" s="63"/>
    </row>
    <row r="755" spans="1:3">
      <c r="A755" s="69"/>
      <c r="B755"/>
      <c r="C755" s="63"/>
    </row>
    <row r="756" spans="1:3">
      <c r="A756" s="69"/>
      <c r="B756"/>
      <c r="C756" s="63"/>
    </row>
    <row r="757" spans="1:3">
      <c r="A757" s="69"/>
      <c r="B757"/>
      <c r="C757" s="63"/>
    </row>
    <row r="758" spans="1:3">
      <c r="A758" s="69"/>
      <c r="B758"/>
      <c r="C758" s="63"/>
    </row>
    <row r="759" spans="1:3">
      <c r="A759" s="69"/>
      <c r="B759"/>
      <c r="C759" s="63"/>
    </row>
    <row r="760" spans="1:3">
      <c r="A760" s="69"/>
      <c r="B760"/>
      <c r="C760" s="63"/>
    </row>
    <row r="761" spans="1:3">
      <c r="A761" s="69"/>
      <c r="B761"/>
      <c r="C761" s="63"/>
    </row>
    <row r="762" spans="1:3">
      <c r="A762" s="69"/>
      <c r="B762"/>
      <c r="C762" s="63"/>
    </row>
    <row r="763" spans="1:3">
      <c r="A763" s="69"/>
      <c r="B763"/>
      <c r="C763" s="63"/>
    </row>
    <row r="764" spans="1:3">
      <c r="A764" s="69"/>
      <c r="B764"/>
      <c r="C764" s="63"/>
    </row>
    <row r="765" spans="1:3">
      <c r="A765" s="69"/>
      <c r="B765"/>
      <c r="C765" s="63"/>
    </row>
    <row r="766" spans="1:3">
      <c r="A766" s="69"/>
      <c r="B766"/>
      <c r="C766" s="63"/>
    </row>
    <row r="767" spans="1:3">
      <c r="A767" s="69"/>
      <c r="B767"/>
      <c r="C767" s="63"/>
    </row>
    <row r="768" spans="1:3">
      <c r="A768" s="69"/>
      <c r="B768"/>
      <c r="C768" s="63"/>
    </row>
    <row r="769" spans="1:3">
      <c r="A769" s="69"/>
      <c r="B769"/>
      <c r="C769" s="63"/>
    </row>
    <row r="770" spans="1:3">
      <c r="A770" s="69"/>
      <c r="B770"/>
      <c r="C770" s="63"/>
    </row>
    <row r="771" spans="1:3">
      <c r="A771" s="69"/>
      <c r="B771"/>
      <c r="C771" s="63"/>
    </row>
    <row r="772" spans="1:3">
      <c r="A772" s="69"/>
      <c r="B772"/>
      <c r="C772" s="63"/>
    </row>
    <row r="773" spans="1:3">
      <c r="A773" s="69"/>
      <c r="B773"/>
      <c r="C773" s="63"/>
    </row>
    <row r="774" spans="1:3">
      <c r="A774" s="69"/>
      <c r="B774"/>
      <c r="C774" s="63"/>
    </row>
    <row r="775" spans="1:3">
      <c r="A775" s="69"/>
      <c r="B775"/>
      <c r="C775" s="63"/>
    </row>
    <row r="776" spans="1:3">
      <c r="A776" s="69"/>
      <c r="B776"/>
      <c r="C776" s="63"/>
    </row>
    <row r="777" spans="1:3">
      <c r="A777" s="69"/>
      <c r="B777"/>
      <c r="C777" s="63"/>
    </row>
    <row r="778" spans="1:3">
      <c r="A778" s="69"/>
      <c r="B778"/>
      <c r="C778" s="63"/>
    </row>
    <row r="779" spans="1:3">
      <c r="A779" s="69"/>
      <c r="B779"/>
      <c r="C779" s="63"/>
    </row>
    <row r="780" spans="1:3">
      <c r="A780" s="69"/>
      <c r="B780"/>
      <c r="C780" s="63"/>
    </row>
    <row r="781" spans="1:3">
      <c r="A781" s="69"/>
      <c r="B781"/>
      <c r="C781" s="63"/>
    </row>
    <row r="782" spans="1:3">
      <c r="A782" s="69"/>
      <c r="B782"/>
      <c r="C782" s="63"/>
    </row>
    <row r="783" spans="1:3">
      <c r="A783" s="69"/>
      <c r="B783"/>
      <c r="C783" s="63"/>
    </row>
    <row r="784" spans="1:3">
      <c r="A784" s="69"/>
      <c r="B784"/>
      <c r="C784" s="63"/>
    </row>
    <row r="785" spans="1:3">
      <c r="A785" s="69"/>
      <c r="B785"/>
      <c r="C785" s="63"/>
    </row>
    <row r="786" spans="1:3">
      <c r="A786" s="69"/>
      <c r="B786"/>
      <c r="C786" s="63"/>
    </row>
    <row r="787" spans="1:3">
      <c r="A787" s="69"/>
      <c r="B787"/>
      <c r="C787" s="63"/>
    </row>
    <row r="788" spans="1:3">
      <c r="A788" s="69"/>
      <c r="B788"/>
      <c r="C788" s="63"/>
    </row>
    <row r="789" spans="1:3">
      <c r="A789" s="69"/>
      <c r="B789"/>
      <c r="C789" s="63"/>
    </row>
    <row r="790" spans="1:3">
      <c r="A790" s="69"/>
      <c r="B790"/>
      <c r="C790" s="63"/>
    </row>
    <row r="791" spans="1:3">
      <c r="A791" s="69"/>
      <c r="B791"/>
      <c r="C791" s="63"/>
    </row>
    <row r="792" spans="1:3">
      <c r="A792" s="69"/>
      <c r="B792"/>
      <c r="C792" s="63"/>
    </row>
    <row r="793" spans="1:3">
      <c r="A793" s="69"/>
      <c r="B793"/>
      <c r="C793" s="63"/>
    </row>
    <row r="794" spans="1:3">
      <c r="A794" s="69"/>
      <c r="B794"/>
      <c r="C794" s="63"/>
    </row>
    <row r="795" spans="1:3">
      <c r="A795" s="69"/>
      <c r="B795"/>
      <c r="C795" s="63"/>
    </row>
    <row r="796" spans="1:3">
      <c r="A796" s="69"/>
      <c r="B796"/>
      <c r="C796" s="63"/>
    </row>
    <row r="797" spans="1:3">
      <c r="A797" s="69"/>
      <c r="B797"/>
      <c r="C797" s="63"/>
    </row>
    <row r="798" spans="1:3">
      <c r="A798" s="69"/>
      <c r="B798"/>
      <c r="C798" s="63"/>
    </row>
    <row r="799" spans="1:3">
      <c r="A799" s="69"/>
      <c r="B799"/>
      <c r="C799" s="63"/>
    </row>
    <row r="800" spans="1:3">
      <c r="A800" s="69"/>
      <c r="B800"/>
      <c r="C800" s="63"/>
    </row>
    <row r="801" spans="1:3">
      <c r="A801" s="69"/>
      <c r="B801"/>
      <c r="C801" s="63"/>
    </row>
    <row r="802" spans="1:3">
      <c r="A802" s="69"/>
      <c r="B802"/>
      <c r="C802" s="63"/>
    </row>
    <row r="803" spans="1:3">
      <c r="A803" s="69"/>
      <c r="B803"/>
      <c r="C803" s="63"/>
    </row>
    <row r="804" spans="1:3">
      <c r="A804" s="69"/>
      <c r="B804"/>
      <c r="C804" s="63"/>
    </row>
    <row r="805" spans="1:3">
      <c r="A805" s="69"/>
      <c r="B805"/>
      <c r="C805" s="63"/>
    </row>
    <row r="806" spans="1:3">
      <c r="A806" s="69"/>
      <c r="B806"/>
      <c r="C806" s="63"/>
    </row>
    <row r="807" spans="1:3">
      <c r="A807" s="69"/>
      <c r="B807"/>
      <c r="C807" s="63"/>
    </row>
    <row r="808" spans="1:3">
      <c r="A808" s="69"/>
      <c r="B808"/>
      <c r="C808" s="63"/>
    </row>
    <row r="809" spans="1:3">
      <c r="A809" s="69"/>
      <c r="B809"/>
      <c r="C809" s="63"/>
    </row>
    <row r="810" spans="1:3">
      <c r="A810" s="69"/>
      <c r="B810"/>
      <c r="C810" s="63"/>
    </row>
    <row r="811" spans="1:3">
      <c r="A811" s="69"/>
      <c r="B811"/>
      <c r="C811" s="63"/>
    </row>
    <row r="812" spans="1:3">
      <c r="A812" s="69"/>
      <c r="B812"/>
      <c r="C812" s="63"/>
    </row>
    <row r="813" spans="1:3">
      <c r="A813" s="69"/>
      <c r="B813"/>
      <c r="C813" s="63"/>
    </row>
    <row r="814" spans="1:3">
      <c r="A814" s="69"/>
      <c r="B814"/>
      <c r="C814" s="63"/>
    </row>
    <row r="815" spans="1:3">
      <c r="A815" s="69"/>
      <c r="B815"/>
      <c r="C815" s="63"/>
    </row>
    <row r="816" spans="1:3">
      <c r="A816" s="69"/>
      <c r="B816"/>
      <c r="C816" s="63"/>
    </row>
    <row r="817" spans="1:3">
      <c r="A817" s="69"/>
      <c r="B817"/>
      <c r="C817" s="63"/>
    </row>
    <row r="818" spans="1:3">
      <c r="A818" s="69"/>
      <c r="B818"/>
      <c r="C818" s="63"/>
    </row>
    <row r="819" spans="1:3">
      <c r="A819" s="69"/>
      <c r="B819"/>
      <c r="C819" s="63"/>
    </row>
    <row r="820" spans="1:3">
      <c r="A820" s="69"/>
      <c r="B820"/>
      <c r="C820" s="63"/>
    </row>
    <row r="821" spans="1:3">
      <c r="A821" s="69"/>
      <c r="B821"/>
      <c r="C821" s="63"/>
    </row>
    <row r="822" spans="1:3">
      <c r="A822" s="69"/>
      <c r="B822"/>
      <c r="C822" s="63"/>
    </row>
    <row r="823" spans="1:3">
      <c r="A823" s="69"/>
      <c r="B823"/>
      <c r="C823" s="63"/>
    </row>
    <row r="824" spans="1:3">
      <c r="A824" s="69"/>
      <c r="B824"/>
      <c r="C824" s="63"/>
    </row>
    <row r="825" spans="1:3">
      <c r="A825" s="69"/>
      <c r="B825"/>
      <c r="C825" s="63"/>
    </row>
    <row r="826" spans="1:3">
      <c r="A826" s="69"/>
      <c r="B826"/>
      <c r="C826" s="63"/>
    </row>
    <row r="827" spans="1:3">
      <c r="A827" s="69"/>
      <c r="B827"/>
      <c r="C827" s="63"/>
    </row>
    <row r="828" spans="1:3">
      <c r="A828" s="69"/>
      <c r="B828"/>
      <c r="C828" s="63"/>
    </row>
    <row r="829" spans="1:3">
      <c r="A829" s="69"/>
      <c r="B829"/>
      <c r="C829" s="63"/>
    </row>
    <row r="830" spans="1:3">
      <c r="A830" s="69"/>
      <c r="B830"/>
      <c r="C830" s="63"/>
    </row>
    <row r="831" spans="1:3">
      <c r="A831" s="69"/>
      <c r="B831"/>
      <c r="C831" s="63"/>
    </row>
    <row r="832" spans="1:3">
      <c r="A832" s="69"/>
      <c r="B832"/>
      <c r="C832" s="63"/>
    </row>
    <row r="833" spans="1:3">
      <c r="A833" s="69"/>
      <c r="B833"/>
      <c r="C833" s="63"/>
    </row>
    <row r="834" spans="1:3">
      <c r="A834" s="69"/>
      <c r="B834"/>
      <c r="C834" s="63"/>
    </row>
    <row r="835" spans="1:3">
      <c r="A835" s="69"/>
      <c r="B835"/>
      <c r="C835" s="63"/>
    </row>
    <row r="836" spans="1:3">
      <c r="A836" s="69"/>
      <c r="B836"/>
      <c r="C836" s="63"/>
    </row>
    <row r="837" spans="1:3">
      <c r="A837" s="69"/>
      <c r="B837"/>
      <c r="C837" s="63"/>
    </row>
    <row r="838" spans="1:3">
      <c r="A838" s="69"/>
      <c r="B838"/>
      <c r="C838" s="63"/>
    </row>
    <row r="839" spans="1:3">
      <c r="A839" s="69"/>
      <c r="B839"/>
      <c r="C839" s="63"/>
    </row>
    <row r="840" spans="1:3">
      <c r="A840" s="69"/>
      <c r="B840"/>
      <c r="C840" s="63"/>
    </row>
    <row r="841" spans="1:3">
      <c r="A841" s="69"/>
      <c r="B841"/>
      <c r="C841" s="63"/>
    </row>
    <row r="842" spans="1:3">
      <c r="A842" s="69"/>
      <c r="B842"/>
      <c r="C842" s="63"/>
    </row>
    <row r="843" spans="1:3">
      <c r="A843" s="69"/>
      <c r="B843"/>
      <c r="C843" s="63"/>
    </row>
    <row r="844" spans="1:3">
      <c r="A844" s="69"/>
      <c r="B844"/>
      <c r="C844" s="63"/>
    </row>
    <row r="845" spans="1:3">
      <c r="A845" s="69"/>
      <c r="B845"/>
      <c r="C845" s="63"/>
    </row>
    <row r="846" spans="1:3">
      <c r="A846" s="69"/>
      <c r="B846"/>
      <c r="C846" s="63"/>
    </row>
    <row r="847" spans="1:3">
      <c r="A847" s="69"/>
      <c r="B847"/>
      <c r="C847" s="63"/>
    </row>
    <row r="848" spans="1:3">
      <c r="A848" s="69"/>
      <c r="B848"/>
      <c r="C848" s="63"/>
    </row>
    <row r="849" spans="1:3">
      <c r="A849" s="69"/>
      <c r="B849"/>
      <c r="C849" s="63"/>
    </row>
    <row r="850" spans="1:3">
      <c r="A850" s="69"/>
      <c r="B850"/>
      <c r="C850" s="63"/>
    </row>
    <row r="851" spans="1:3">
      <c r="A851" s="69"/>
      <c r="B851"/>
      <c r="C851" s="63"/>
    </row>
    <row r="852" spans="1:3">
      <c r="A852" s="69"/>
      <c r="B852"/>
      <c r="C852" s="63"/>
    </row>
    <row r="853" spans="1:3">
      <c r="A853" s="69"/>
      <c r="B853"/>
      <c r="C853" s="63"/>
    </row>
    <row r="854" spans="1:3">
      <c r="A854" s="69"/>
      <c r="B854"/>
      <c r="C854" s="63"/>
    </row>
    <row r="855" spans="1:3">
      <c r="A855" s="69"/>
      <c r="B855"/>
      <c r="C855" s="63"/>
    </row>
    <row r="856" spans="1:3">
      <c r="A856" s="69"/>
      <c r="B856"/>
      <c r="C856" s="63"/>
    </row>
    <row r="857" spans="1:3">
      <c r="A857" s="69"/>
      <c r="B857"/>
      <c r="C857" s="63"/>
    </row>
    <row r="858" spans="1:3">
      <c r="A858" s="69"/>
      <c r="B858"/>
      <c r="C858" s="63"/>
    </row>
    <row r="859" spans="1:3">
      <c r="A859" s="69"/>
      <c r="B859"/>
      <c r="C859" s="63"/>
    </row>
    <row r="860" spans="1:3">
      <c r="A860" s="69"/>
      <c r="B860"/>
      <c r="C860" s="63"/>
    </row>
    <row r="861" spans="1:3">
      <c r="A861" s="69"/>
      <c r="B861"/>
      <c r="C861" s="63"/>
    </row>
    <row r="862" spans="1:3">
      <c r="A862" s="69"/>
      <c r="B862"/>
      <c r="C862" s="63"/>
    </row>
    <row r="863" spans="1:3">
      <c r="A863" s="69"/>
      <c r="B863"/>
      <c r="C863" s="63"/>
    </row>
    <row r="864" spans="1:3">
      <c r="A864" s="69"/>
      <c r="B864"/>
      <c r="C864" s="63"/>
    </row>
    <row r="865" spans="1:3">
      <c r="A865" s="69"/>
      <c r="B865"/>
      <c r="C865" s="63"/>
    </row>
    <row r="866" spans="1:3">
      <c r="A866" s="69"/>
      <c r="B866"/>
      <c r="C866" s="63"/>
    </row>
    <row r="867" spans="1:3">
      <c r="A867" s="69"/>
      <c r="B867"/>
      <c r="C867" s="63"/>
    </row>
    <row r="868" spans="1:3">
      <c r="A868" s="69"/>
      <c r="B868"/>
      <c r="C868" s="63"/>
    </row>
    <row r="869" spans="1:3">
      <c r="A869" s="69"/>
      <c r="B869"/>
      <c r="C869" s="63"/>
    </row>
    <row r="870" spans="1:3">
      <c r="A870" s="69"/>
      <c r="B870"/>
      <c r="C870" s="63"/>
    </row>
    <row r="871" spans="1:3">
      <c r="A871" s="69"/>
      <c r="B871"/>
      <c r="C871" s="63"/>
    </row>
    <row r="872" spans="1:3">
      <c r="A872" s="69"/>
      <c r="B872"/>
      <c r="C872" s="63"/>
    </row>
    <row r="873" spans="1:3">
      <c r="A873" s="69"/>
      <c r="B873"/>
      <c r="C873" s="63"/>
    </row>
    <row r="874" spans="1:3">
      <c r="A874" s="69"/>
      <c r="B874"/>
      <c r="C874" s="63"/>
    </row>
    <row r="875" spans="1:3">
      <c r="A875" s="69"/>
      <c r="B875"/>
      <c r="C875" s="63"/>
    </row>
    <row r="876" spans="1:3">
      <c r="A876" s="69"/>
      <c r="B876"/>
      <c r="C876" s="63"/>
    </row>
    <row r="877" spans="1:3">
      <c r="A877" s="69"/>
      <c r="B877"/>
      <c r="C877" s="63"/>
    </row>
    <row r="878" spans="1:3">
      <c r="A878" s="69"/>
      <c r="B878"/>
      <c r="C878" s="63"/>
    </row>
    <row r="879" spans="1:3">
      <c r="A879" s="69"/>
      <c r="B879"/>
      <c r="C879" s="63"/>
    </row>
    <row r="880" spans="1:3">
      <c r="A880" s="69"/>
      <c r="B880"/>
      <c r="C880" s="63"/>
    </row>
    <row r="881" spans="1:3">
      <c r="A881" s="69"/>
      <c r="B881"/>
      <c r="C881" s="63"/>
    </row>
    <row r="882" spans="1:3">
      <c r="A882" s="69"/>
      <c r="B882"/>
      <c r="C882" s="63"/>
    </row>
    <row r="883" spans="1:3">
      <c r="A883" s="69"/>
      <c r="B883"/>
      <c r="C883" s="63"/>
    </row>
    <row r="884" spans="1:3">
      <c r="A884" s="69"/>
      <c r="B884"/>
      <c r="C884" s="63"/>
    </row>
    <row r="885" spans="1:3">
      <c r="A885" s="69"/>
      <c r="B885"/>
      <c r="C885" s="63"/>
    </row>
    <row r="886" spans="1:3">
      <c r="A886" s="69"/>
      <c r="B886"/>
      <c r="C886" s="63"/>
    </row>
    <row r="887" spans="1:3">
      <c r="A887" s="69"/>
      <c r="B887"/>
      <c r="C887" s="63"/>
    </row>
    <row r="888" spans="1:3">
      <c r="A888" s="69"/>
      <c r="B888"/>
      <c r="C888" s="63"/>
    </row>
    <row r="889" spans="1:3">
      <c r="A889" s="69"/>
      <c r="B889"/>
      <c r="C889" s="63"/>
    </row>
    <row r="890" spans="1:3">
      <c r="A890" s="69"/>
      <c r="B890"/>
      <c r="C890" s="63"/>
    </row>
    <row r="891" spans="1:3">
      <c r="A891" s="69"/>
      <c r="B891"/>
      <c r="C891" s="63"/>
    </row>
    <row r="892" spans="1:3">
      <c r="A892" s="69"/>
      <c r="B892"/>
      <c r="C892" s="63"/>
    </row>
    <row r="893" spans="1:3">
      <c r="A893" s="69"/>
      <c r="B893"/>
      <c r="C893" s="63"/>
    </row>
    <row r="894" spans="1:3">
      <c r="A894" s="69"/>
      <c r="B894"/>
      <c r="C894" s="63"/>
    </row>
    <row r="895" spans="1:3">
      <c r="A895" s="69"/>
      <c r="B895"/>
      <c r="C895" s="63"/>
    </row>
    <row r="896" spans="1:3">
      <c r="A896" s="69"/>
      <c r="B896"/>
      <c r="C896" s="63"/>
    </row>
    <row r="897" spans="1:3">
      <c r="A897" s="69"/>
      <c r="B897"/>
      <c r="C897" s="63"/>
    </row>
    <row r="898" spans="1:3">
      <c r="A898" s="69"/>
      <c r="B898"/>
      <c r="C898" s="63"/>
    </row>
    <row r="899" spans="1:3">
      <c r="A899" s="69"/>
      <c r="B899"/>
      <c r="C899" s="63"/>
    </row>
    <row r="900" spans="1:3">
      <c r="A900" s="69"/>
      <c r="B900"/>
      <c r="C900" s="63"/>
    </row>
    <row r="901" spans="1:3">
      <c r="A901" s="69"/>
      <c r="B901"/>
      <c r="C901" s="63"/>
    </row>
    <row r="902" spans="1:3">
      <c r="A902" s="69"/>
      <c r="B902"/>
      <c r="C902" s="63"/>
    </row>
    <row r="903" spans="1:3">
      <c r="A903" s="69"/>
      <c r="B903"/>
      <c r="C903" s="63"/>
    </row>
    <row r="904" spans="1:3">
      <c r="A904" s="69"/>
      <c r="B904"/>
      <c r="C904" s="63"/>
    </row>
    <row r="905" spans="1:3">
      <c r="A905" s="69"/>
      <c r="B905"/>
      <c r="C905" s="63"/>
    </row>
    <row r="906" spans="1:3">
      <c r="A906" s="69"/>
      <c r="B906"/>
      <c r="C906" s="63"/>
    </row>
    <row r="907" spans="1:3">
      <c r="A907" s="69"/>
      <c r="B907"/>
      <c r="C907" s="63"/>
    </row>
    <row r="908" spans="1:3">
      <c r="A908" s="69"/>
      <c r="B908"/>
      <c r="C908" s="63"/>
    </row>
    <row r="909" spans="1:3">
      <c r="A909" s="69"/>
      <c r="B909"/>
      <c r="C909" s="63"/>
    </row>
    <row r="910" spans="1:3">
      <c r="A910" s="69"/>
      <c r="B910"/>
      <c r="C910" s="63"/>
    </row>
    <row r="911" spans="1:3">
      <c r="A911" s="69"/>
      <c r="B911"/>
      <c r="C911" s="63"/>
    </row>
    <row r="912" spans="1:3">
      <c r="A912" s="69"/>
      <c r="B912"/>
      <c r="C912" s="63"/>
    </row>
    <row r="913" spans="1:3">
      <c r="A913" s="69"/>
      <c r="B913"/>
      <c r="C913" s="63"/>
    </row>
    <row r="914" spans="1:3">
      <c r="A914" s="69"/>
      <c r="B914"/>
      <c r="C914" s="63"/>
    </row>
    <row r="915" spans="1:3">
      <c r="A915" s="69"/>
      <c r="B915"/>
      <c r="C915" s="63"/>
    </row>
    <row r="916" spans="1:3">
      <c r="A916" s="69"/>
      <c r="B916"/>
      <c r="C916" s="63"/>
    </row>
    <row r="917" spans="1:3">
      <c r="A917" s="69"/>
      <c r="B917"/>
      <c r="C917" s="63"/>
    </row>
    <row r="918" spans="1:3">
      <c r="A918" s="69"/>
      <c r="B918"/>
      <c r="C918" s="63"/>
    </row>
    <row r="919" spans="1:3">
      <c r="A919" s="69"/>
      <c r="B919"/>
      <c r="C919" s="63"/>
    </row>
    <row r="920" spans="1:3">
      <c r="A920" s="69"/>
      <c r="B920"/>
      <c r="C920" s="63"/>
    </row>
    <row r="921" spans="1:3">
      <c r="A921" s="69"/>
      <c r="B921"/>
      <c r="C921" s="63"/>
    </row>
    <row r="922" spans="1:3">
      <c r="A922" s="69"/>
      <c r="B922"/>
      <c r="C922" s="63"/>
    </row>
    <row r="923" spans="1:3">
      <c r="A923" s="69"/>
      <c r="B923"/>
      <c r="C923" s="63"/>
    </row>
    <row r="924" spans="1:3">
      <c r="A924" s="69"/>
      <c r="B924"/>
      <c r="C924" s="63"/>
    </row>
    <row r="925" spans="1:3">
      <c r="A925" s="69"/>
      <c r="B925"/>
      <c r="C925" s="63"/>
    </row>
    <row r="926" spans="1:3">
      <c r="A926" s="69"/>
      <c r="B926"/>
      <c r="C926" s="63"/>
    </row>
    <row r="927" spans="1:3">
      <c r="A927" s="69"/>
      <c r="B927"/>
      <c r="C927" s="63"/>
    </row>
    <row r="928" spans="1:3">
      <c r="A928" s="69"/>
      <c r="B928"/>
      <c r="C928" s="63"/>
    </row>
    <row r="929" spans="1:3">
      <c r="A929" s="69"/>
      <c r="B929"/>
      <c r="C929" s="63"/>
    </row>
    <row r="930" spans="1:3">
      <c r="A930" s="69"/>
      <c r="B930"/>
      <c r="C930" s="63"/>
    </row>
    <row r="931" spans="1:3">
      <c r="A931" s="69"/>
      <c r="B931"/>
      <c r="C931" s="63"/>
    </row>
    <row r="932" spans="1:3">
      <c r="A932" s="69"/>
      <c r="B932"/>
      <c r="C932" s="63"/>
    </row>
    <row r="933" spans="1:3">
      <c r="A933" s="69"/>
      <c r="B933"/>
      <c r="C933" s="63"/>
    </row>
    <row r="934" spans="1:3">
      <c r="A934" s="69"/>
      <c r="B934"/>
      <c r="C934" s="63"/>
    </row>
    <row r="935" spans="1:3">
      <c r="A935" s="69"/>
      <c r="B935"/>
      <c r="C935" s="63"/>
    </row>
    <row r="936" spans="1:3">
      <c r="A936" s="69"/>
      <c r="B936"/>
      <c r="C936" s="63"/>
    </row>
    <row r="937" spans="1:3">
      <c r="A937" s="69"/>
      <c r="B937"/>
      <c r="C937" s="63"/>
    </row>
    <row r="938" spans="1:3">
      <c r="A938" s="69"/>
      <c r="B938"/>
      <c r="C938" s="63"/>
    </row>
    <row r="939" spans="1:3">
      <c r="A939" s="69"/>
      <c r="B939"/>
      <c r="C939" s="63"/>
    </row>
    <row r="940" spans="1:3">
      <c r="A940" s="69"/>
      <c r="B940"/>
      <c r="C940" s="63"/>
    </row>
    <row r="941" spans="1:3">
      <c r="A941" s="69"/>
      <c r="B941"/>
      <c r="C941" s="63"/>
    </row>
    <row r="942" spans="1:3">
      <c r="A942" s="69"/>
      <c r="B942"/>
      <c r="C942" s="63"/>
    </row>
    <row r="943" spans="1:3">
      <c r="A943" s="69"/>
      <c r="B943"/>
      <c r="C943" s="63"/>
    </row>
    <row r="944" spans="1:3">
      <c r="A944" s="69"/>
      <c r="B944"/>
      <c r="C944" s="63"/>
    </row>
    <row r="945" spans="1:3">
      <c r="A945" s="69"/>
      <c r="B945"/>
      <c r="C945" s="63"/>
    </row>
    <row r="946" spans="1:3">
      <c r="A946" s="69"/>
      <c r="B946"/>
      <c r="C946" s="63"/>
    </row>
    <row r="947" spans="1:3">
      <c r="A947" s="69"/>
      <c r="B947"/>
      <c r="C947" s="63"/>
    </row>
    <row r="948" spans="1:3">
      <c r="A948" s="69"/>
      <c r="B948"/>
      <c r="C948" s="63"/>
    </row>
    <row r="949" spans="1:3">
      <c r="A949" s="69"/>
      <c r="B949"/>
      <c r="C949" s="63"/>
    </row>
    <row r="950" spans="1:3">
      <c r="A950" s="69"/>
      <c r="B950"/>
      <c r="C950" s="63"/>
    </row>
    <row r="951" spans="1:3">
      <c r="A951" s="69"/>
      <c r="B951"/>
      <c r="C951" s="63"/>
    </row>
    <row r="952" spans="1:3">
      <c r="A952" s="69"/>
      <c r="B952"/>
      <c r="C952" s="63"/>
    </row>
    <row r="953" spans="1:3">
      <c r="A953" s="69"/>
      <c r="B953"/>
      <c r="C953" s="63"/>
    </row>
    <row r="954" spans="1:3">
      <c r="A954" s="69"/>
      <c r="B954"/>
      <c r="C954" s="63"/>
    </row>
    <row r="955" spans="1:3">
      <c r="A955" s="69"/>
      <c r="B955"/>
      <c r="C955" s="63"/>
    </row>
    <row r="956" spans="1:3">
      <c r="A956" s="69"/>
      <c r="B956"/>
      <c r="C956" s="63"/>
    </row>
    <row r="957" spans="1:3">
      <c r="A957" s="69"/>
      <c r="B957"/>
      <c r="C957" s="63"/>
    </row>
    <row r="958" spans="1:3">
      <c r="A958" s="69"/>
      <c r="B958"/>
      <c r="C958" s="63"/>
    </row>
    <row r="959" spans="1:3">
      <c r="A959" s="69"/>
      <c r="B959"/>
      <c r="C959" s="63"/>
    </row>
    <row r="960" spans="1:3">
      <c r="A960" s="69"/>
      <c r="B960"/>
      <c r="C960" s="63"/>
    </row>
    <row r="961" spans="1:3">
      <c r="A961" s="69"/>
      <c r="B961"/>
      <c r="C961" s="63"/>
    </row>
    <row r="962" spans="1:3">
      <c r="A962" s="69"/>
      <c r="B962"/>
      <c r="C962" s="63"/>
    </row>
    <row r="963" spans="1:3">
      <c r="A963" s="69"/>
      <c r="B963"/>
      <c r="C963" s="63"/>
    </row>
    <row r="964" spans="1:3">
      <c r="A964" s="69"/>
      <c r="B964"/>
      <c r="C964" s="63"/>
    </row>
    <row r="965" spans="1:3">
      <c r="A965" s="69"/>
      <c r="B965"/>
      <c r="C965" s="63"/>
    </row>
    <row r="966" spans="1:3">
      <c r="A966" s="69"/>
      <c r="B966"/>
      <c r="C966" s="63"/>
    </row>
    <row r="967" spans="1:3">
      <c r="A967" s="69"/>
      <c r="B967"/>
      <c r="C967" s="63"/>
    </row>
    <row r="968" spans="1:3">
      <c r="A968" s="69"/>
      <c r="B968"/>
      <c r="C968" s="63"/>
    </row>
    <row r="969" spans="1:3">
      <c r="A969" s="69"/>
      <c r="B969"/>
      <c r="C969" s="63"/>
    </row>
    <row r="970" spans="1:3">
      <c r="A970" s="69"/>
      <c r="B970"/>
      <c r="C970" s="63"/>
    </row>
    <row r="971" spans="1:3">
      <c r="A971" s="69"/>
      <c r="B971"/>
      <c r="C971" s="63"/>
    </row>
    <row r="972" spans="1:3">
      <c r="A972" s="69"/>
      <c r="B972"/>
      <c r="C972" s="63"/>
    </row>
    <row r="973" spans="1:3">
      <c r="A973" s="69"/>
      <c r="B973"/>
      <c r="C973" s="63"/>
    </row>
    <row r="974" spans="1:3">
      <c r="A974" s="69"/>
      <c r="B974"/>
      <c r="C974" s="63"/>
    </row>
    <row r="975" spans="1:3">
      <c r="A975" s="69"/>
      <c r="B975"/>
      <c r="C975" s="63"/>
    </row>
    <row r="976" spans="1:3">
      <c r="A976" s="69"/>
      <c r="B976"/>
      <c r="C976" s="63"/>
    </row>
    <row r="977" spans="1:3">
      <c r="A977" s="69"/>
      <c r="B977"/>
      <c r="C977" s="63"/>
    </row>
    <row r="978" spans="1:3">
      <c r="A978" s="69"/>
      <c r="B978"/>
      <c r="C978" s="63"/>
    </row>
    <row r="979" spans="1:3">
      <c r="A979" s="69"/>
      <c r="B979"/>
      <c r="C979" s="63"/>
    </row>
    <row r="980" spans="1:3">
      <c r="A980" s="69"/>
      <c r="B980"/>
      <c r="C980" s="63"/>
    </row>
    <row r="981" spans="1:3">
      <c r="A981" s="69"/>
      <c r="B981"/>
      <c r="C981" s="63"/>
    </row>
    <row r="982" spans="1:3">
      <c r="A982" s="69"/>
      <c r="B982"/>
      <c r="C982" s="63"/>
    </row>
    <row r="983" spans="1:3">
      <c r="A983" s="69"/>
      <c r="B983"/>
      <c r="C983" s="63"/>
    </row>
    <row r="984" spans="1:3">
      <c r="A984" s="69"/>
      <c r="B984"/>
      <c r="C984" s="63"/>
    </row>
    <row r="985" spans="1:3">
      <c r="A985" s="69"/>
      <c r="B985"/>
      <c r="C985" s="63"/>
    </row>
    <row r="986" spans="1:3">
      <c r="A986" s="69"/>
      <c r="B986"/>
      <c r="C986" s="63"/>
    </row>
    <row r="987" spans="1:3">
      <c r="A987" s="69"/>
      <c r="B987"/>
      <c r="C987" s="63"/>
    </row>
    <row r="988" spans="1:3">
      <c r="A988" s="69"/>
      <c r="B988"/>
      <c r="C988" s="63"/>
    </row>
    <row r="989" spans="1:3">
      <c r="A989" s="69"/>
      <c r="B989"/>
      <c r="C989" s="63"/>
    </row>
    <row r="990" spans="1:3">
      <c r="A990" s="69"/>
      <c r="B990"/>
      <c r="C990" s="63"/>
    </row>
    <row r="991" spans="1:3">
      <c r="A991" s="69"/>
      <c r="B991"/>
      <c r="C991" s="63"/>
    </row>
    <row r="992" spans="1:3">
      <c r="A992" s="69"/>
      <c r="B992"/>
      <c r="C992" s="63"/>
    </row>
    <row r="993" spans="1:3">
      <c r="A993" s="69"/>
      <c r="B993"/>
      <c r="C993" s="63"/>
    </row>
    <row r="994" spans="1:3">
      <c r="A994" s="69"/>
      <c r="B994"/>
      <c r="C994" s="63"/>
    </row>
    <row r="995" spans="1:3">
      <c r="A995" s="69"/>
      <c r="B995"/>
      <c r="C995" s="63"/>
    </row>
    <row r="996" spans="1:3">
      <c r="A996" s="69"/>
      <c r="B996"/>
      <c r="C996" s="63"/>
    </row>
    <row r="997" spans="1:3">
      <c r="A997" s="69"/>
      <c r="B997"/>
      <c r="C997" s="63"/>
    </row>
    <row r="998" spans="1:3">
      <c r="A998" s="69"/>
      <c r="B998"/>
      <c r="C998" s="63"/>
    </row>
    <row r="999" spans="1:3">
      <c r="A999" s="69"/>
      <c r="B999"/>
      <c r="C999" s="63"/>
    </row>
    <row r="1000" spans="1:3">
      <c r="A1000" s="69"/>
      <c r="B1000"/>
      <c r="C1000" s="63"/>
    </row>
    <row r="1001" spans="1:3">
      <c r="A1001" s="69"/>
      <c r="B1001"/>
    </row>
    <row r="1002" spans="1:3">
      <c r="A1002"/>
      <c r="B1002"/>
    </row>
    <row r="1003" spans="1:3">
      <c r="A1003"/>
      <c r="B1003"/>
    </row>
    <row r="1004" spans="1:3">
      <c r="A1004"/>
      <c r="B1004"/>
    </row>
    <row r="1005" spans="1:3">
      <c r="A1005"/>
      <c r="B1005"/>
    </row>
    <row r="1006" spans="1:3">
      <c r="A1006"/>
      <c r="B1006"/>
    </row>
    <row r="1007" spans="1:3">
      <c r="A1007"/>
      <c r="B1007"/>
    </row>
    <row r="1008" spans="1:3">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row r="1083" spans="1:2">
      <c r="A1083"/>
      <c r="B1083"/>
    </row>
    <row r="1084" spans="1:2">
      <c r="A1084"/>
      <c r="B1084"/>
    </row>
    <row r="1085" spans="1:2">
      <c r="A1085"/>
      <c r="B1085"/>
    </row>
    <row r="1086" spans="1:2">
      <c r="A1086"/>
      <c r="B1086"/>
    </row>
    <row r="1087" spans="1:2">
      <c r="A1087"/>
      <c r="B1087"/>
    </row>
    <row r="1088" spans="1:2">
      <c r="A1088"/>
      <c r="B1088"/>
    </row>
    <row r="1089" spans="1:2">
      <c r="A1089"/>
      <c r="B1089"/>
    </row>
    <row r="1090" spans="1:2">
      <c r="A1090"/>
      <c r="B1090"/>
    </row>
    <row r="1091" spans="1:2">
      <c r="A1091"/>
      <c r="B1091"/>
    </row>
    <row r="1092" spans="1:2">
      <c r="A1092"/>
      <c r="B1092"/>
    </row>
    <row r="1093" spans="1:2">
      <c r="A1093"/>
      <c r="B1093"/>
    </row>
    <row r="1094" spans="1:2">
      <c r="A1094"/>
      <c r="B1094"/>
    </row>
    <row r="1095" spans="1:2">
      <c r="A1095"/>
      <c r="B1095"/>
    </row>
    <row r="1096" spans="1:2">
      <c r="A1096"/>
      <c r="B1096"/>
    </row>
    <row r="1097" spans="1:2">
      <c r="A1097"/>
      <c r="B1097"/>
    </row>
    <row r="1098" spans="1:2">
      <c r="A1098"/>
      <c r="B1098"/>
    </row>
    <row r="1099" spans="1:2">
      <c r="A1099"/>
      <c r="B1099"/>
    </row>
    <row r="1100" spans="1:2">
      <c r="A1100"/>
      <c r="B1100"/>
    </row>
    <row r="1101" spans="1:2">
      <c r="A1101"/>
      <c r="B1101"/>
    </row>
    <row r="1102" spans="1:2">
      <c r="A1102"/>
      <c r="B1102"/>
    </row>
    <row r="1103" spans="1:2">
      <c r="A1103"/>
      <c r="B1103"/>
    </row>
    <row r="1104" spans="1:2">
      <c r="A1104"/>
      <c r="B1104"/>
    </row>
    <row r="1105" spans="1:2">
      <c r="A1105"/>
      <c r="B1105"/>
    </row>
    <row r="1106" spans="1:2">
      <c r="A1106"/>
      <c r="B1106"/>
    </row>
    <row r="1107" spans="1:2">
      <c r="A1107"/>
      <c r="B1107"/>
    </row>
    <row r="1108" spans="1:2">
      <c r="A1108"/>
      <c r="B1108"/>
    </row>
    <row r="1109" spans="1:2">
      <c r="A1109"/>
      <c r="B1109"/>
    </row>
    <row r="1110" spans="1:2">
      <c r="A1110"/>
      <c r="B1110"/>
    </row>
    <row r="1111" spans="1:2">
      <c r="A1111"/>
      <c r="B1111"/>
    </row>
    <row r="1112" spans="1:2">
      <c r="A1112"/>
      <c r="B1112"/>
    </row>
    <row r="1113" spans="1:2">
      <c r="A1113"/>
      <c r="B1113"/>
    </row>
    <row r="1114" spans="1:2">
      <c r="A1114"/>
      <c r="B1114"/>
    </row>
    <row r="1115" spans="1:2">
      <c r="A1115"/>
      <c r="B1115"/>
    </row>
    <row r="1116" spans="1:2">
      <c r="A1116"/>
      <c r="B1116"/>
    </row>
    <row r="1117" spans="1:2">
      <c r="A1117"/>
      <c r="B1117"/>
    </row>
    <row r="1118" spans="1:2">
      <c r="A1118"/>
      <c r="B1118"/>
    </row>
    <row r="1119" spans="1:2">
      <c r="A1119"/>
      <c r="B1119"/>
    </row>
    <row r="1120" spans="1:2">
      <c r="A1120"/>
      <c r="B1120"/>
    </row>
    <row r="1121" spans="1:2">
      <c r="A1121"/>
      <c r="B1121"/>
    </row>
    <row r="1122" spans="1:2">
      <c r="A1122"/>
      <c r="B1122"/>
    </row>
    <row r="1123" spans="1:2">
      <c r="A1123"/>
      <c r="B1123"/>
    </row>
    <row r="1124" spans="1:2">
      <c r="A1124"/>
      <c r="B1124"/>
    </row>
    <row r="1125" spans="1:2">
      <c r="A1125"/>
      <c r="B1125"/>
    </row>
    <row r="1126" spans="1:2">
      <c r="A1126"/>
      <c r="B1126"/>
    </row>
    <row r="1127" spans="1:2">
      <c r="A1127"/>
      <c r="B1127"/>
    </row>
    <row r="1128" spans="1:2">
      <c r="A1128"/>
      <c r="B1128"/>
    </row>
    <row r="1129" spans="1:2">
      <c r="A1129"/>
      <c r="B1129"/>
    </row>
    <row r="1130" spans="1:2">
      <c r="A1130"/>
      <c r="B1130"/>
    </row>
    <row r="1131" spans="1:2">
      <c r="A1131"/>
      <c r="B1131"/>
    </row>
    <row r="1132" spans="1:2">
      <c r="A1132"/>
      <c r="B1132"/>
    </row>
    <row r="1133" spans="1:2">
      <c r="A1133"/>
      <c r="B1133"/>
    </row>
    <row r="1134" spans="1:2">
      <c r="A1134"/>
      <c r="B1134"/>
    </row>
    <row r="1135" spans="1:2">
      <c r="A1135"/>
      <c r="B1135"/>
    </row>
    <row r="1136" spans="1:2">
      <c r="A1136"/>
      <c r="B1136"/>
    </row>
    <row r="1137" spans="1:2">
      <c r="A1137"/>
      <c r="B1137"/>
    </row>
    <row r="1138" spans="1:2">
      <c r="A1138"/>
      <c r="B1138"/>
    </row>
    <row r="1139" spans="1:2">
      <c r="A1139"/>
      <c r="B1139"/>
    </row>
    <row r="1140" spans="1:2">
      <c r="A1140"/>
      <c r="B1140"/>
    </row>
    <row r="1141" spans="1:2">
      <c r="A1141"/>
      <c r="B1141"/>
    </row>
    <row r="1142" spans="1:2">
      <c r="A1142"/>
      <c r="B1142"/>
    </row>
    <row r="1143" spans="1:2">
      <c r="A1143"/>
      <c r="B1143"/>
    </row>
    <row r="1144" spans="1:2">
      <c r="A1144"/>
      <c r="B1144"/>
    </row>
    <row r="1145" spans="1:2">
      <c r="A1145"/>
      <c r="B1145"/>
    </row>
    <row r="1146" spans="1:2">
      <c r="A1146"/>
      <c r="B1146"/>
    </row>
    <row r="1147" spans="1:2">
      <c r="A1147"/>
      <c r="B1147"/>
    </row>
    <row r="1148" spans="1:2">
      <c r="A1148"/>
      <c r="B1148"/>
    </row>
    <row r="1149" spans="1:2">
      <c r="A1149"/>
      <c r="B1149"/>
    </row>
    <row r="1150" spans="1:2">
      <c r="A1150"/>
      <c r="B1150"/>
    </row>
    <row r="1151" spans="1:2">
      <c r="A1151"/>
      <c r="B1151"/>
    </row>
    <row r="1152" spans="1:2">
      <c r="A1152"/>
      <c r="B1152"/>
    </row>
    <row r="1153" spans="1:2">
      <c r="A1153"/>
      <c r="B1153"/>
    </row>
    <row r="1154" spans="1:2">
      <c r="A1154"/>
      <c r="B1154"/>
    </row>
    <row r="1155" spans="1:2">
      <c r="A1155"/>
      <c r="B1155"/>
    </row>
    <row r="1156" spans="1:2">
      <c r="A1156"/>
      <c r="B1156"/>
    </row>
    <row r="1157" spans="1:2">
      <c r="A1157"/>
      <c r="B1157"/>
    </row>
    <row r="1158" spans="1:2">
      <c r="A1158"/>
      <c r="B1158"/>
    </row>
    <row r="1159" spans="1:2">
      <c r="A1159"/>
      <c r="B1159"/>
    </row>
    <row r="1160" spans="1:2">
      <c r="A1160"/>
      <c r="B1160"/>
    </row>
    <row r="1161" spans="1:2">
      <c r="A1161"/>
      <c r="B1161"/>
    </row>
    <row r="1162" spans="1:2">
      <c r="A1162"/>
      <c r="B1162"/>
    </row>
    <row r="1163" spans="1:2">
      <c r="A1163"/>
      <c r="B1163"/>
    </row>
    <row r="1164" spans="1:2">
      <c r="A1164"/>
      <c r="B1164"/>
    </row>
    <row r="1165" spans="1:2">
      <c r="A1165"/>
      <c r="B1165"/>
    </row>
    <row r="1166" spans="1:2">
      <c r="A1166"/>
      <c r="B1166"/>
    </row>
    <row r="1167" spans="1:2">
      <c r="A1167"/>
      <c r="B1167"/>
    </row>
    <row r="1168" spans="1:2">
      <c r="A1168"/>
      <c r="B1168"/>
    </row>
    <row r="1169" spans="1:2">
      <c r="A1169"/>
      <c r="B1169"/>
    </row>
    <row r="1170" spans="1:2">
      <c r="A1170"/>
      <c r="B1170"/>
    </row>
    <row r="1171" spans="1:2">
      <c r="A1171"/>
      <c r="B1171"/>
    </row>
    <row r="1172" spans="1:2">
      <c r="A1172"/>
      <c r="B1172"/>
    </row>
    <row r="1173" spans="1:2">
      <c r="A1173"/>
      <c r="B1173"/>
    </row>
    <row r="1174" spans="1:2">
      <c r="A1174"/>
      <c r="B1174"/>
    </row>
    <row r="1175" spans="1:2">
      <c r="A1175"/>
      <c r="B1175"/>
    </row>
    <row r="1176" spans="1:2">
      <c r="A1176"/>
      <c r="B1176"/>
    </row>
    <row r="1177" spans="1:2">
      <c r="A1177"/>
      <c r="B1177"/>
    </row>
    <row r="1178" spans="1:2">
      <c r="A1178"/>
      <c r="B1178"/>
    </row>
    <row r="1179" spans="1:2">
      <c r="A1179"/>
      <c r="B1179"/>
    </row>
    <row r="1180" spans="1:2">
      <c r="A1180"/>
      <c r="B1180"/>
    </row>
    <row r="1181" spans="1:2">
      <c r="A1181"/>
      <c r="B1181"/>
    </row>
    <row r="1182" spans="1:2">
      <c r="A1182"/>
      <c r="B1182"/>
    </row>
    <row r="1183" spans="1:2">
      <c r="A1183"/>
      <c r="B1183"/>
    </row>
    <row r="1184" spans="1:2">
      <c r="A1184"/>
      <c r="B1184"/>
    </row>
    <row r="1185" spans="1:2">
      <c r="A1185"/>
      <c r="B1185"/>
    </row>
    <row r="1186" spans="1:2">
      <c r="A1186"/>
      <c r="B1186"/>
    </row>
    <row r="1187" spans="1:2">
      <c r="A1187"/>
      <c r="B1187"/>
    </row>
    <row r="1188" spans="1:2">
      <c r="A1188"/>
      <c r="B1188"/>
    </row>
    <row r="1189" spans="1:2">
      <c r="A1189"/>
      <c r="B1189"/>
    </row>
    <row r="1190" spans="1:2">
      <c r="A1190"/>
      <c r="B1190"/>
    </row>
    <row r="1191" spans="1:2">
      <c r="A1191"/>
      <c r="B1191"/>
    </row>
    <row r="1192" spans="1:2">
      <c r="A1192"/>
      <c r="B1192"/>
    </row>
    <row r="1193" spans="1:2">
      <c r="A1193"/>
      <c r="B1193"/>
    </row>
    <row r="1194" spans="1:2">
      <c r="A1194"/>
      <c r="B1194"/>
    </row>
    <row r="1195" spans="1:2">
      <c r="A1195"/>
      <c r="B1195"/>
    </row>
    <row r="1196" spans="1:2">
      <c r="A1196"/>
      <c r="B1196"/>
    </row>
    <row r="1197" spans="1:2">
      <c r="A1197"/>
      <c r="B1197"/>
    </row>
    <row r="1198" spans="1:2">
      <c r="A1198"/>
      <c r="B1198"/>
    </row>
    <row r="1199" spans="1:2">
      <c r="A1199"/>
      <c r="B1199"/>
    </row>
    <row r="1200" spans="1:2">
      <c r="A1200"/>
      <c r="B1200"/>
    </row>
    <row r="1201" spans="1:2">
      <c r="A1201"/>
      <c r="B1201"/>
    </row>
    <row r="1202" spans="1:2">
      <c r="A1202"/>
      <c r="B1202"/>
    </row>
    <row r="1203" spans="1:2">
      <c r="A1203"/>
      <c r="B1203"/>
    </row>
    <row r="1204" spans="1:2">
      <c r="A1204"/>
      <c r="B1204"/>
    </row>
    <row r="1205" spans="1:2">
      <c r="A1205"/>
      <c r="B1205"/>
    </row>
    <row r="1206" spans="1:2">
      <c r="A1206"/>
      <c r="B1206"/>
    </row>
    <row r="1207" spans="1:2">
      <c r="A1207"/>
      <c r="B1207"/>
    </row>
    <row r="1208" spans="1:2">
      <c r="A1208"/>
      <c r="B1208"/>
    </row>
    <row r="1209" spans="1:2">
      <c r="A1209"/>
      <c r="B1209"/>
    </row>
    <row r="1210" spans="1:2">
      <c r="A1210"/>
      <c r="B1210"/>
    </row>
    <row r="1211" spans="1:2">
      <c r="A1211"/>
      <c r="B1211"/>
    </row>
    <row r="1212" spans="1:2">
      <c r="A1212"/>
      <c r="B1212"/>
    </row>
    <row r="1213" spans="1:2">
      <c r="A1213"/>
      <c r="B1213"/>
    </row>
    <row r="1214" spans="1:2">
      <c r="A1214"/>
      <c r="B1214"/>
    </row>
    <row r="1215" spans="1:2">
      <c r="A1215"/>
      <c r="B1215"/>
    </row>
    <row r="1216" spans="1:2">
      <c r="A1216"/>
      <c r="B1216"/>
    </row>
    <row r="1217" spans="1:2">
      <c r="A1217"/>
      <c r="B1217"/>
    </row>
    <row r="1218" spans="1:2">
      <c r="A1218"/>
      <c r="B1218"/>
    </row>
    <row r="1219" spans="1:2">
      <c r="A1219"/>
      <c r="B1219"/>
    </row>
    <row r="1220" spans="1:2">
      <c r="A1220"/>
      <c r="B1220"/>
    </row>
    <row r="1221" spans="1:2">
      <c r="A1221"/>
      <c r="B1221"/>
    </row>
    <row r="1222" spans="1:2">
      <c r="A1222"/>
      <c r="B1222"/>
    </row>
    <row r="1223" spans="1:2">
      <c r="A1223"/>
      <c r="B1223"/>
    </row>
    <row r="1224" spans="1:2">
      <c r="A1224"/>
      <c r="B1224"/>
    </row>
    <row r="1225" spans="1:2">
      <c r="A1225"/>
      <c r="B1225"/>
    </row>
    <row r="1226" spans="1:2">
      <c r="A1226"/>
      <c r="B1226"/>
    </row>
    <row r="1227" spans="1:2">
      <c r="A1227"/>
      <c r="B1227"/>
    </row>
    <row r="1228" spans="1:2">
      <c r="A1228"/>
      <c r="B1228"/>
    </row>
    <row r="1229" spans="1:2">
      <c r="A1229"/>
      <c r="B1229"/>
    </row>
    <row r="1230" spans="1:2">
      <c r="A1230"/>
      <c r="B1230"/>
    </row>
    <row r="1231" spans="1:2">
      <c r="A1231"/>
      <c r="B1231"/>
    </row>
    <row r="1232" spans="1:2">
      <c r="A1232"/>
      <c r="B1232"/>
    </row>
    <row r="1233" spans="1:2">
      <c r="A1233"/>
      <c r="B1233"/>
    </row>
    <row r="1234" spans="1:2">
      <c r="A1234"/>
      <c r="B1234"/>
    </row>
    <row r="1235" spans="1:2">
      <c r="A1235"/>
      <c r="B1235"/>
    </row>
    <row r="1236" spans="1:2">
      <c r="A1236"/>
      <c r="B1236"/>
    </row>
    <row r="1237" spans="1:2">
      <c r="A1237"/>
      <c r="B1237"/>
    </row>
    <row r="1238" spans="1:2">
      <c r="A1238"/>
      <c r="B1238"/>
    </row>
    <row r="1239" spans="1:2">
      <c r="A1239"/>
      <c r="B1239"/>
    </row>
    <row r="1240" spans="1:2">
      <c r="A1240"/>
      <c r="B1240"/>
    </row>
    <row r="1241" spans="1:2">
      <c r="A1241"/>
      <c r="B1241"/>
    </row>
    <row r="1242" spans="1:2">
      <c r="A1242"/>
      <c r="B1242"/>
    </row>
    <row r="1243" spans="1:2">
      <c r="A1243"/>
      <c r="B1243"/>
    </row>
    <row r="1244" spans="1:2">
      <c r="A1244"/>
      <c r="B1244"/>
    </row>
    <row r="1245" spans="1:2">
      <c r="A1245"/>
      <c r="B1245"/>
    </row>
    <row r="1246" spans="1:2">
      <c r="A1246"/>
      <c r="B1246"/>
    </row>
    <row r="1247" spans="1:2">
      <c r="A1247"/>
      <c r="B1247"/>
    </row>
    <row r="1248" spans="1:2">
      <c r="A1248"/>
      <c r="B1248"/>
    </row>
    <row r="1249" spans="1:2">
      <c r="A1249"/>
      <c r="B1249"/>
    </row>
    <row r="1250" spans="1:2">
      <c r="A1250"/>
      <c r="B1250"/>
    </row>
    <row r="1251" spans="1:2">
      <c r="A1251"/>
      <c r="B1251"/>
    </row>
    <row r="1252" spans="1:2">
      <c r="A1252"/>
      <c r="B1252"/>
    </row>
    <row r="1253" spans="1:2">
      <c r="A1253"/>
      <c r="B1253"/>
    </row>
    <row r="1254" spans="1:2">
      <c r="A1254"/>
      <c r="B1254"/>
    </row>
    <row r="1255" spans="1:2">
      <c r="A1255"/>
      <c r="B1255"/>
    </row>
    <row r="1256" spans="1:2">
      <c r="A1256"/>
      <c r="B1256"/>
    </row>
    <row r="1257" spans="1:2">
      <c r="A1257"/>
      <c r="B1257"/>
    </row>
    <row r="1258" spans="1:2">
      <c r="A1258"/>
      <c r="B1258"/>
    </row>
    <row r="1259" spans="1:2">
      <c r="A1259"/>
      <c r="B1259"/>
    </row>
    <row r="1260" spans="1:2">
      <c r="A1260"/>
      <c r="B1260"/>
    </row>
    <row r="1261" spans="1:2">
      <c r="A1261"/>
      <c r="B1261"/>
    </row>
    <row r="1262" spans="1:2">
      <c r="A1262"/>
      <c r="B1262"/>
    </row>
    <row r="1263" spans="1:2">
      <c r="A1263"/>
      <c r="B1263"/>
    </row>
    <row r="1264" spans="1:2">
      <c r="A1264"/>
      <c r="B1264"/>
    </row>
    <row r="1265" spans="1:2">
      <c r="A1265"/>
      <c r="B1265"/>
    </row>
    <row r="1266" spans="1:2">
      <c r="A1266"/>
      <c r="B1266"/>
    </row>
    <row r="1267" spans="1:2">
      <c r="A1267"/>
      <c r="B1267"/>
    </row>
    <row r="1268" spans="1:2">
      <c r="A1268"/>
      <c r="B1268"/>
    </row>
    <row r="1269" spans="1:2">
      <c r="A1269"/>
      <c r="B1269"/>
    </row>
    <row r="1270" spans="1:2">
      <c r="A1270"/>
      <c r="B1270"/>
    </row>
    <row r="1271" spans="1:2">
      <c r="A1271"/>
      <c r="B1271"/>
    </row>
    <row r="1272" spans="1:2">
      <c r="A1272"/>
      <c r="B1272"/>
    </row>
    <row r="1273" spans="1:2">
      <c r="A1273"/>
      <c r="B1273"/>
    </row>
    <row r="1274" spans="1:2">
      <c r="A1274"/>
      <c r="B1274"/>
    </row>
    <row r="1275" spans="1:2">
      <c r="A1275"/>
      <c r="B1275"/>
    </row>
    <row r="1276" spans="1:2">
      <c r="A1276"/>
      <c r="B1276"/>
    </row>
    <row r="1277" spans="1:2">
      <c r="A1277"/>
      <c r="B1277"/>
    </row>
    <row r="1278" spans="1:2">
      <c r="A1278"/>
      <c r="B1278"/>
    </row>
    <row r="1279" spans="1:2">
      <c r="A1279"/>
      <c r="B1279"/>
    </row>
    <row r="1280" spans="1:2">
      <c r="A1280"/>
      <c r="B1280"/>
    </row>
    <row r="1281" spans="1:2">
      <c r="A1281"/>
      <c r="B1281"/>
    </row>
    <row r="1282" spans="1:2">
      <c r="A1282"/>
      <c r="B1282"/>
    </row>
    <row r="1283" spans="1:2">
      <c r="A1283"/>
      <c r="B1283"/>
    </row>
    <row r="1284" spans="1:2">
      <c r="A1284"/>
      <c r="B1284"/>
    </row>
    <row r="1285" spans="1:2">
      <c r="A1285"/>
      <c r="B1285"/>
    </row>
    <row r="1286" spans="1:2">
      <c r="A1286"/>
      <c r="B1286"/>
    </row>
    <row r="1287" spans="1:2">
      <c r="A1287"/>
      <c r="B1287"/>
    </row>
    <row r="1288" spans="1:2">
      <c r="A1288"/>
      <c r="B1288"/>
    </row>
    <row r="1289" spans="1:2">
      <c r="A1289"/>
      <c r="B1289"/>
    </row>
    <row r="1290" spans="1:2">
      <c r="A1290"/>
      <c r="B1290"/>
    </row>
    <row r="1291" spans="1:2">
      <c r="A1291"/>
      <c r="B1291"/>
    </row>
    <row r="1292" spans="1:2">
      <c r="A1292"/>
      <c r="B1292"/>
    </row>
    <row r="1293" spans="1:2">
      <c r="A1293"/>
      <c r="B1293"/>
    </row>
    <row r="1294" spans="1:2">
      <c r="A1294"/>
      <c r="B1294"/>
    </row>
    <row r="1295" spans="1:2">
      <c r="A1295"/>
      <c r="B1295"/>
    </row>
    <row r="1296" spans="1:2">
      <c r="A1296"/>
      <c r="B1296"/>
    </row>
    <row r="1297" spans="1:2">
      <c r="A1297"/>
      <c r="B1297"/>
    </row>
    <row r="1298" spans="1:2">
      <c r="A1298"/>
      <c r="B1298"/>
    </row>
    <row r="1299" spans="1:2">
      <c r="A1299"/>
      <c r="B1299"/>
    </row>
    <row r="1300" spans="1:2">
      <c r="A1300"/>
      <c r="B1300"/>
    </row>
    <row r="1301" spans="1:2">
      <c r="A1301"/>
      <c r="B1301"/>
    </row>
    <row r="1302" spans="1:2">
      <c r="A1302"/>
      <c r="B1302"/>
    </row>
    <row r="1303" spans="1:2">
      <c r="A1303"/>
      <c r="B1303"/>
    </row>
    <row r="1304" spans="1:2">
      <c r="A1304"/>
      <c r="B1304"/>
    </row>
    <row r="1305" spans="1:2">
      <c r="A1305"/>
      <c r="B1305"/>
    </row>
    <row r="1306" spans="1:2">
      <c r="A1306"/>
      <c r="B1306"/>
    </row>
    <row r="1307" spans="1:2">
      <c r="A1307"/>
      <c r="B1307"/>
    </row>
    <row r="1308" spans="1:2">
      <c r="A1308"/>
      <c r="B1308"/>
    </row>
    <row r="1309" spans="1:2">
      <c r="A1309"/>
      <c r="B1309"/>
    </row>
    <row r="1310" spans="1:2">
      <c r="A1310"/>
      <c r="B1310"/>
    </row>
    <row r="1311" spans="1:2">
      <c r="A1311"/>
      <c r="B1311"/>
    </row>
    <row r="1312" spans="1:2">
      <c r="A1312"/>
      <c r="B1312"/>
    </row>
    <row r="1313" spans="1:2">
      <c r="A1313"/>
      <c r="B1313"/>
    </row>
    <row r="1314" spans="1:2">
      <c r="A1314"/>
      <c r="B1314"/>
    </row>
    <row r="1315" spans="1:2">
      <c r="A1315"/>
      <c r="B1315"/>
    </row>
    <row r="1316" spans="1:2">
      <c r="A1316"/>
      <c r="B1316"/>
    </row>
    <row r="1317" spans="1:2">
      <c r="A1317"/>
      <c r="B1317"/>
    </row>
    <row r="1318" spans="1:2">
      <c r="A1318"/>
      <c r="B1318"/>
    </row>
    <row r="1319" spans="1:2">
      <c r="A1319"/>
      <c r="B1319"/>
    </row>
    <row r="1320" spans="1:2">
      <c r="A1320"/>
      <c r="B1320"/>
    </row>
    <row r="1321" spans="1:2">
      <c r="A1321"/>
      <c r="B1321"/>
    </row>
    <row r="1322" spans="1:2">
      <c r="A1322"/>
      <c r="B1322"/>
    </row>
    <row r="1323" spans="1:2">
      <c r="A1323"/>
      <c r="B1323"/>
    </row>
    <row r="1324" spans="1:2">
      <c r="A1324"/>
      <c r="B1324"/>
    </row>
    <row r="1325" spans="1:2">
      <c r="A1325"/>
      <c r="B1325"/>
    </row>
    <row r="1326" spans="1:2">
      <c r="A1326"/>
      <c r="B1326"/>
    </row>
    <row r="1327" spans="1:2">
      <c r="A1327"/>
      <c r="B1327"/>
    </row>
    <row r="1328" spans="1:2">
      <c r="A1328"/>
      <c r="B1328"/>
    </row>
    <row r="1329" spans="1:2">
      <c r="A1329"/>
      <c r="B1329"/>
    </row>
    <row r="1330" spans="1:2">
      <c r="A1330"/>
      <c r="B1330"/>
    </row>
    <row r="1331" spans="1:2">
      <c r="A1331"/>
      <c r="B1331"/>
    </row>
    <row r="1332" spans="1:2">
      <c r="A1332"/>
      <c r="B1332"/>
    </row>
    <row r="1333" spans="1:2">
      <c r="A1333"/>
      <c r="B1333"/>
    </row>
    <row r="1334" spans="1:2">
      <c r="A1334"/>
      <c r="B1334"/>
    </row>
    <row r="1335" spans="1:2">
      <c r="A1335"/>
      <c r="B1335"/>
    </row>
    <row r="1336" spans="1:2">
      <c r="A1336"/>
      <c r="B1336"/>
    </row>
    <row r="1337" spans="1:2">
      <c r="A1337"/>
      <c r="B1337"/>
    </row>
    <row r="1338" spans="1:2">
      <c r="A1338"/>
      <c r="B1338"/>
    </row>
    <row r="1339" spans="1:2">
      <c r="A1339"/>
      <c r="B1339"/>
    </row>
    <row r="1340" spans="1:2">
      <c r="A1340"/>
      <c r="B1340"/>
    </row>
    <row r="1341" spans="1:2">
      <c r="A1341"/>
      <c r="B1341"/>
    </row>
    <row r="1342" spans="1:2">
      <c r="A1342"/>
      <c r="B1342"/>
    </row>
    <row r="1343" spans="1:2">
      <c r="A1343"/>
      <c r="B1343"/>
    </row>
    <row r="1344" spans="1:2">
      <c r="A1344"/>
      <c r="B1344"/>
    </row>
    <row r="1345" spans="1:2">
      <c r="A1345"/>
      <c r="B1345"/>
    </row>
    <row r="1346" spans="1:2">
      <c r="A1346"/>
      <c r="B1346"/>
    </row>
    <row r="1347" spans="1:2">
      <c r="A1347"/>
      <c r="B1347"/>
    </row>
    <row r="1348" spans="1:2">
      <c r="A1348"/>
      <c r="B1348"/>
    </row>
    <row r="1349" spans="1:2">
      <c r="A1349"/>
      <c r="B1349"/>
    </row>
    <row r="1350" spans="1:2">
      <c r="A1350"/>
      <c r="B1350"/>
    </row>
    <row r="1351" spans="1:2">
      <c r="A1351"/>
      <c r="B1351"/>
    </row>
    <row r="1352" spans="1:2">
      <c r="A1352"/>
      <c r="B1352"/>
    </row>
    <row r="1353" spans="1:2">
      <c r="A1353"/>
      <c r="B1353"/>
    </row>
    <row r="1354" spans="1:2">
      <c r="A1354"/>
      <c r="B1354"/>
    </row>
    <row r="1355" spans="1:2">
      <c r="A1355"/>
      <c r="B1355"/>
    </row>
    <row r="1356" spans="1:2">
      <c r="A1356"/>
      <c r="B1356"/>
    </row>
    <row r="1357" spans="1:2">
      <c r="A1357"/>
      <c r="B1357"/>
    </row>
    <row r="1358" spans="1:2">
      <c r="A1358"/>
      <c r="B1358"/>
    </row>
    <row r="1359" spans="1:2">
      <c r="A1359"/>
      <c r="B1359"/>
    </row>
    <row r="1360" spans="1:2">
      <c r="A1360"/>
      <c r="B1360"/>
    </row>
    <row r="1361" spans="1:2">
      <c r="A1361"/>
      <c r="B1361"/>
    </row>
    <row r="1362" spans="1:2">
      <c r="A1362"/>
      <c r="B1362"/>
    </row>
    <row r="1363" spans="1:2">
      <c r="A1363"/>
      <c r="B1363"/>
    </row>
    <row r="1364" spans="1:2">
      <c r="A1364"/>
      <c r="B1364"/>
    </row>
    <row r="1365" spans="1:2">
      <c r="A1365"/>
      <c r="B1365"/>
    </row>
    <row r="1366" spans="1:2">
      <c r="A1366"/>
      <c r="B1366"/>
    </row>
    <row r="1367" spans="1:2">
      <c r="A1367"/>
      <c r="B1367"/>
    </row>
    <row r="1368" spans="1:2">
      <c r="A1368"/>
      <c r="B1368"/>
    </row>
    <row r="1369" spans="1:2">
      <c r="A1369"/>
      <c r="B1369"/>
    </row>
    <row r="1370" spans="1:2">
      <c r="A1370"/>
      <c r="B1370"/>
    </row>
    <row r="1371" spans="1:2">
      <c r="A1371"/>
      <c r="B1371"/>
    </row>
    <row r="1372" spans="1:2">
      <c r="A1372"/>
      <c r="B1372"/>
    </row>
    <row r="1373" spans="1:2">
      <c r="A1373"/>
      <c r="B1373"/>
    </row>
    <row r="1374" spans="1:2">
      <c r="A1374"/>
      <c r="B1374"/>
    </row>
    <row r="1375" spans="1:2">
      <c r="A1375"/>
      <c r="B1375"/>
    </row>
    <row r="1376" spans="1:2">
      <c r="A1376"/>
      <c r="B1376"/>
    </row>
    <row r="1377" spans="1:2">
      <c r="A1377"/>
      <c r="B1377"/>
    </row>
    <row r="1378" spans="1:2">
      <c r="A1378"/>
      <c r="B1378"/>
    </row>
    <row r="1379" spans="1:2">
      <c r="A1379"/>
      <c r="B1379"/>
    </row>
    <row r="1380" spans="1:2">
      <c r="A1380"/>
      <c r="B1380"/>
    </row>
    <row r="1381" spans="1:2">
      <c r="A1381"/>
      <c r="B1381"/>
    </row>
    <row r="1382" spans="1:2">
      <c r="A1382"/>
      <c r="B1382"/>
    </row>
    <row r="1383" spans="1:2">
      <c r="A1383"/>
      <c r="B1383"/>
    </row>
    <row r="1384" spans="1:2">
      <c r="A1384"/>
      <c r="B1384"/>
    </row>
    <row r="1385" spans="1:2">
      <c r="A1385"/>
      <c r="B1385"/>
    </row>
    <row r="1386" spans="1:2">
      <c r="A1386"/>
      <c r="B1386"/>
    </row>
    <row r="1387" spans="1:2">
      <c r="A1387"/>
      <c r="B1387"/>
    </row>
    <row r="1388" spans="1:2">
      <c r="A1388"/>
      <c r="B1388"/>
    </row>
    <row r="1389" spans="1:2">
      <c r="A1389"/>
      <c r="B1389"/>
    </row>
    <row r="1390" spans="1:2">
      <c r="A1390"/>
      <c r="B1390"/>
    </row>
    <row r="1391" spans="1:2">
      <c r="A1391"/>
      <c r="B1391"/>
    </row>
    <row r="1392" spans="1:2">
      <c r="A1392"/>
      <c r="B1392"/>
    </row>
    <row r="1393" spans="1:2">
      <c r="A1393"/>
      <c r="B1393"/>
    </row>
    <row r="1394" spans="1:2">
      <c r="A1394"/>
      <c r="B1394"/>
    </row>
    <row r="1395" spans="1:2">
      <c r="A1395"/>
      <c r="B1395"/>
    </row>
    <row r="1396" spans="1:2">
      <c r="A1396"/>
      <c r="B1396"/>
    </row>
    <row r="1397" spans="1:2">
      <c r="A1397"/>
      <c r="B1397"/>
    </row>
    <row r="1398" spans="1:2">
      <c r="A1398"/>
      <c r="B1398"/>
    </row>
    <row r="1399" spans="1:2">
      <c r="A1399"/>
      <c r="B1399"/>
    </row>
    <row r="1400" spans="1:2">
      <c r="A1400"/>
      <c r="B1400"/>
    </row>
    <row r="1401" spans="1:2">
      <c r="A1401"/>
      <c r="B1401"/>
    </row>
    <row r="1402" spans="1:2">
      <c r="A1402"/>
      <c r="B1402"/>
    </row>
    <row r="1403" spans="1:2">
      <c r="A1403"/>
      <c r="B1403"/>
    </row>
    <row r="1404" spans="1:2">
      <c r="A1404"/>
      <c r="B1404"/>
    </row>
    <row r="1405" spans="1:2">
      <c r="A1405"/>
      <c r="B1405"/>
    </row>
    <row r="1406" spans="1:2">
      <c r="A1406"/>
      <c r="B1406"/>
    </row>
    <row r="1407" spans="1:2">
      <c r="A1407"/>
      <c r="B1407"/>
    </row>
    <row r="1408" spans="1:2">
      <c r="A1408"/>
      <c r="B1408"/>
    </row>
    <row r="1409" spans="1:2">
      <c r="A1409"/>
      <c r="B1409"/>
    </row>
    <row r="1410" spans="1:2">
      <c r="A1410"/>
      <c r="B1410"/>
    </row>
    <row r="1411" spans="1:2">
      <c r="A1411"/>
      <c r="B1411"/>
    </row>
    <row r="1412" spans="1:2">
      <c r="A1412"/>
      <c r="B1412"/>
    </row>
    <row r="1413" spans="1:2">
      <c r="A1413"/>
      <c r="B1413"/>
    </row>
    <row r="1414" spans="1:2">
      <c r="A1414"/>
      <c r="B1414"/>
    </row>
    <row r="1415" spans="1:2">
      <c r="A1415"/>
      <c r="B1415"/>
    </row>
    <row r="1416" spans="1:2">
      <c r="A1416"/>
      <c r="B1416"/>
    </row>
    <row r="1417" spans="1:2">
      <c r="A1417"/>
      <c r="B1417"/>
    </row>
    <row r="1418" spans="1:2">
      <c r="A1418"/>
      <c r="B1418"/>
    </row>
    <row r="1419" spans="1:2">
      <c r="A1419"/>
      <c r="B1419"/>
    </row>
    <row r="1420" spans="1:2">
      <c r="A1420"/>
      <c r="B1420"/>
    </row>
    <row r="1421" spans="1:2">
      <c r="A1421"/>
      <c r="B1421"/>
    </row>
    <row r="1422" spans="1:2">
      <c r="A1422"/>
      <c r="B1422"/>
    </row>
    <row r="1423" spans="1:2">
      <c r="A1423"/>
      <c r="B1423"/>
    </row>
    <row r="1424" spans="1:2">
      <c r="A1424"/>
      <c r="B1424"/>
    </row>
    <row r="1425" spans="1:2">
      <c r="A1425"/>
      <c r="B1425"/>
    </row>
    <row r="1426" spans="1:2">
      <c r="A1426"/>
      <c r="B1426"/>
    </row>
    <row r="1427" spans="1:2">
      <c r="A1427"/>
      <c r="B1427"/>
    </row>
    <row r="1428" spans="1:2">
      <c r="A1428"/>
      <c r="B1428"/>
    </row>
    <row r="1429" spans="1:2">
      <c r="A1429"/>
      <c r="B1429"/>
    </row>
    <row r="1430" spans="1:2">
      <c r="A1430"/>
      <c r="B1430"/>
    </row>
    <row r="1431" spans="1:2">
      <c r="A1431"/>
      <c r="B1431"/>
    </row>
    <row r="1432" spans="1:2">
      <c r="A1432"/>
      <c r="B1432"/>
    </row>
    <row r="1433" spans="1:2">
      <c r="A1433"/>
      <c r="B1433"/>
    </row>
    <row r="1434" spans="1:2">
      <c r="A1434"/>
      <c r="B1434"/>
    </row>
    <row r="1435" spans="1:2">
      <c r="A1435"/>
      <c r="B1435"/>
    </row>
    <row r="1436" spans="1:2">
      <c r="A1436"/>
      <c r="B1436"/>
    </row>
    <row r="1437" spans="1:2">
      <c r="A1437"/>
      <c r="B1437"/>
    </row>
    <row r="1438" spans="1:2">
      <c r="A1438"/>
      <c r="B1438"/>
    </row>
    <row r="1439" spans="1:2">
      <c r="A1439"/>
      <c r="B1439"/>
    </row>
    <row r="1440" spans="1:2">
      <c r="A1440"/>
      <c r="B1440"/>
    </row>
    <row r="1441" spans="1:2">
      <c r="A1441"/>
      <c r="B1441"/>
    </row>
    <row r="1442" spans="1:2">
      <c r="A1442"/>
      <c r="B1442"/>
    </row>
    <row r="1443" spans="1:2">
      <c r="A1443"/>
      <c r="B1443"/>
    </row>
    <row r="1444" spans="1:2">
      <c r="A1444"/>
      <c r="B1444"/>
    </row>
    <row r="1445" spans="1:2">
      <c r="A1445"/>
      <c r="B1445"/>
    </row>
    <row r="1446" spans="1:2">
      <c r="A1446"/>
      <c r="B1446"/>
    </row>
    <row r="1447" spans="1:2">
      <c r="A1447"/>
      <c r="B1447"/>
    </row>
    <row r="1448" spans="1:2">
      <c r="A1448"/>
      <c r="B1448"/>
    </row>
    <row r="1449" spans="1:2">
      <c r="A1449"/>
      <c r="B1449"/>
    </row>
    <row r="1450" spans="1:2">
      <c r="A1450"/>
      <c r="B1450"/>
    </row>
    <row r="1451" spans="1:2">
      <c r="A1451"/>
      <c r="B1451"/>
    </row>
    <row r="1452" spans="1:2">
      <c r="A1452"/>
      <c r="B1452"/>
    </row>
    <row r="1453" spans="1:2">
      <c r="A1453"/>
      <c r="B1453"/>
    </row>
    <row r="1454" spans="1:2">
      <c r="A1454"/>
      <c r="B1454"/>
    </row>
    <row r="1455" spans="1:2">
      <c r="A1455"/>
      <c r="B1455"/>
    </row>
    <row r="1456" spans="1:2">
      <c r="A1456"/>
      <c r="B1456"/>
    </row>
    <row r="1457" spans="1:2">
      <c r="A1457"/>
      <c r="B1457"/>
    </row>
    <row r="1458" spans="1:2">
      <c r="A1458"/>
      <c r="B1458"/>
    </row>
    <row r="1459" spans="1:2">
      <c r="A1459"/>
      <c r="B1459"/>
    </row>
    <row r="1460" spans="1:2">
      <c r="A1460"/>
      <c r="B1460"/>
    </row>
    <row r="1461" spans="1:2">
      <c r="A1461"/>
      <c r="B1461"/>
    </row>
    <row r="1462" spans="1:2">
      <c r="A1462"/>
      <c r="B1462"/>
    </row>
    <row r="1463" spans="1:2">
      <c r="A1463"/>
      <c r="B1463"/>
    </row>
    <row r="1464" spans="1:2">
      <c r="A1464"/>
      <c r="B1464"/>
    </row>
    <row r="1465" spans="1:2">
      <c r="A1465"/>
      <c r="B1465"/>
    </row>
    <row r="1466" spans="1:2">
      <c r="A1466"/>
      <c r="B1466"/>
    </row>
    <row r="1467" spans="1:2">
      <c r="A1467"/>
      <c r="B1467"/>
    </row>
    <row r="1468" spans="1:2">
      <c r="A1468"/>
      <c r="B1468"/>
    </row>
    <row r="1469" spans="1:2">
      <c r="A1469"/>
      <c r="B1469"/>
    </row>
    <row r="1470" spans="1:2">
      <c r="A1470"/>
      <c r="B1470"/>
    </row>
    <row r="1471" spans="1:2">
      <c r="A1471"/>
      <c r="B1471"/>
    </row>
    <row r="1472" spans="1:2">
      <c r="A1472"/>
      <c r="B1472"/>
    </row>
    <row r="1473" spans="1:2">
      <c r="A1473"/>
      <c r="B1473"/>
    </row>
    <row r="1474" spans="1:2">
      <c r="A1474"/>
      <c r="B1474"/>
    </row>
    <row r="1475" spans="1:2">
      <c r="A1475"/>
      <c r="B1475"/>
    </row>
    <row r="1476" spans="1:2">
      <c r="A1476"/>
      <c r="B1476"/>
    </row>
    <row r="1477" spans="1:2">
      <c r="A1477"/>
      <c r="B1477"/>
    </row>
    <row r="1478" spans="1:2">
      <c r="A1478"/>
      <c r="B1478"/>
    </row>
    <row r="1479" spans="1:2">
      <c r="A1479"/>
      <c r="B1479"/>
    </row>
    <row r="1480" spans="1:2">
      <c r="A1480"/>
      <c r="B1480"/>
    </row>
    <row r="1481" spans="1:2">
      <c r="A1481"/>
      <c r="B1481"/>
    </row>
    <row r="1482" spans="1:2">
      <c r="A1482"/>
      <c r="B1482"/>
    </row>
    <row r="1483" spans="1:2">
      <c r="A1483"/>
      <c r="B1483"/>
    </row>
    <row r="1484" spans="1:2">
      <c r="A1484"/>
      <c r="B1484"/>
    </row>
    <row r="1485" spans="1:2">
      <c r="A1485"/>
      <c r="B1485"/>
    </row>
    <row r="1486" spans="1:2">
      <c r="A1486"/>
      <c r="B1486"/>
    </row>
    <row r="1487" spans="1:2">
      <c r="A1487"/>
      <c r="B1487"/>
    </row>
    <row r="1488" spans="1:2">
      <c r="A1488"/>
      <c r="B1488"/>
    </row>
    <row r="1489" spans="1:2">
      <c r="A1489"/>
      <c r="B1489"/>
    </row>
    <row r="1490" spans="1:2">
      <c r="A1490"/>
      <c r="B1490"/>
    </row>
    <row r="1491" spans="1:2">
      <c r="A1491"/>
      <c r="B1491"/>
    </row>
    <row r="1492" spans="1:2">
      <c r="A1492"/>
      <c r="B1492"/>
    </row>
    <row r="1493" spans="1:2">
      <c r="A1493"/>
      <c r="B1493"/>
    </row>
    <row r="1494" spans="1:2">
      <c r="A1494"/>
      <c r="B1494"/>
    </row>
    <row r="1495" spans="1:2">
      <c r="A1495"/>
      <c r="B1495"/>
    </row>
    <row r="1496" spans="1:2">
      <c r="A1496"/>
      <c r="B1496"/>
    </row>
    <row r="1497" spans="1:2">
      <c r="A1497"/>
      <c r="B1497"/>
    </row>
    <row r="1498" spans="1:2">
      <c r="A1498"/>
      <c r="B1498"/>
    </row>
    <row r="1499" spans="1:2">
      <c r="A1499"/>
      <c r="B1499"/>
    </row>
    <row r="1500" spans="1:2">
      <c r="A1500"/>
      <c r="B1500"/>
    </row>
    <row r="1501" spans="1:2">
      <c r="A1501"/>
      <c r="B1501"/>
    </row>
    <row r="1502" spans="1:2">
      <c r="A1502"/>
      <c r="B1502"/>
    </row>
    <row r="1503" spans="1:2">
      <c r="A1503"/>
      <c r="B1503"/>
    </row>
    <row r="1504" spans="1:2">
      <c r="A1504"/>
      <c r="B1504"/>
    </row>
    <row r="1505" spans="1:2">
      <c r="A1505"/>
      <c r="B1505"/>
    </row>
    <row r="1506" spans="1:2">
      <c r="A1506"/>
      <c r="B1506"/>
    </row>
    <row r="1507" spans="1:2">
      <c r="A1507"/>
      <c r="B1507"/>
    </row>
    <row r="1508" spans="1:2">
      <c r="A1508"/>
      <c r="B1508"/>
    </row>
    <row r="1509" spans="1:2">
      <c r="A1509"/>
      <c r="B1509"/>
    </row>
    <row r="1510" spans="1:2">
      <c r="A1510"/>
      <c r="B1510"/>
    </row>
    <row r="1511" spans="1:2">
      <c r="A1511"/>
      <c r="B1511"/>
    </row>
    <row r="1512" spans="1:2">
      <c r="A1512"/>
      <c r="B1512"/>
    </row>
    <row r="1513" spans="1:2">
      <c r="A1513"/>
      <c r="B1513"/>
    </row>
    <row r="1514" spans="1:2">
      <c r="A1514"/>
      <c r="B1514"/>
    </row>
    <row r="1515" spans="1:2">
      <c r="A1515"/>
      <c r="B1515"/>
    </row>
    <row r="1516" spans="1:2">
      <c r="A1516"/>
      <c r="B1516"/>
    </row>
    <row r="1517" spans="1:2">
      <c r="A1517"/>
      <c r="B1517"/>
    </row>
    <row r="1518" spans="1:2">
      <c r="A1518"/>
      <c r="B1518"/>
    </row>
    <row r="1519" spans="1:2">
      <c r="A1519"/>
      <c r="B1519"/>
    </row>
    <row r="1520" spans="1:2">
      <c r="A1520"/>
      <c r="B1520"/>
    </row>
    <row r="1521" spans="1:2">
      <c r="A1521"/>
      <c r="B1521"/>
    </row>
    <row r="1522" spans="1:2">
      <c r="A1522"/>
      <c r="B1522"/>
    </row>
    <row r="1523" spans="1:2">
      <c r="A1523"/>
      <c r="B1523"/>
    </row>
    <row r="1524" spans="1:2">
      <c r="A1524"/>
      <c r="B1524"/>
    </row>
    <row r="1525" spans="1:2">
      <c r="A1525"/>
      <c r="B1525"/>
    </row>
    <row r="1526" spans="1:2">
      <c r="A1526"/>
      <c r="B1526"/>
    </row>
    <row r="1527" spans="1:2">
      <c r="A1527"/>
      <c r="B1527"/>
    </row>
    <row r="1528" spans="1:2">
      <c r="A1528"/>
      <c r="B1528"/>
    </row>
    <row r="1529" spans="1:2">
      <c r="A1529"/>
      <c r="B1529"/>
    </row>
    <row r="1530" spans="1:2">
      <c r="A1530"/>
      <c r="B1530"/>
    </row>
    <row r="1531" spans="1:2">
      <c r="A1531"/>
      <c r="B1531"/>
    </row>
    <row r="1532" spans="1:2">
      <c r="A1532"/>
      <c r="B1532"/>
    </row>
    <row r="1533" spans="1:2">
      <c r="A1533"/>
      <c r="B1533"/>
    </row>
    <row r="1534" spans="1:2">
      <c r="A1534"/>
      <c r="B1534"/>
    </row>
    <row r="1535" spans="1:2">
      <c r="A1535"/>
      <c r="B1535"/>
    </row>
    <row r="1536" spans="1:2">
      <c r="A1536"/>
      <c r="B1536"/>
    </row>
    <row r="1537" spans="1:2">
      <c r="A1537"/>
      <c r="B1537"/>
    </row>
    <row r="1538" spans="1:2">
      <c r="A1538"/>
      <c r="B1538"/>
    </row>
    <row r="1539" spans="1:2">
      <c r="A1539"/>
      <c r="B1539"/>
    </row>
    <row r="1540" spans="1:2">
      <c r="A1540"/>
      <c r="B1540"/>
    </row>
    <row r="1541" spans="1:2">
      <c r="A1541"/>
      <c r="B1541"/>
    </row>
    <row r="1542" spans="1:2">
      <c r="A1542"/>
      <c r="B1542"/>
    </row>
    <row r="1543" spans="1:2">
      <c r="A1543"/>
      <c r="B1543"/>
    </row>
    <row r="1544" spans="1:2">
      <c r="A1544"/>
      <c r="B1544"/>
    </row>
    <row r="1545" spans="1:2">
      <c r="A1545"/>
      <c r="B1545"/>
    </row>
    <row r="1546" spans="1:2">
      <c r="A1546"/>
      <c r="B1546"/>
    </row>
    <row r="1547" spans="1:2">
      <c r="A1547"/>
      <c r="B1547"/>
    </row>
    <row r="1548" spans="1:2">
      <c r="A1548"/>
      <c r="B1548"/>
    </row>
    <row r="1549" spans="1:2">
      <c r="A1549"/>
      <c r="B1549"/>
    </row>
    <row r="1550" spans="1:2">
      <c r="A1550"/>
      <c r="B1550"/>
    </row>
    <row r="1551" spans="1:2">
      <c r="A1551"/>
      <c r="B1551"/>
    </row>
    <row r="1552" spans="1:2">
      <c r="A1552"/>
      <c r="B1552"/>
    </row>
    <row r="1553" spans="1:2">
      <c r="A1553"/>
      <c r="B1553"/>
    </row>
    <row r="1554" spans="1:2">
      <c r="A1554"/>
      <c r="B1554"/>
    </row>
    <row r="1555" spans="1:2">
      <c r="A1555"/>
      <c r="B1555"/>
    </row>
    <row r="1556" spans="1:2">
      <c r="A1556"/>
      <c r="B1556"/>
    </row>
    <row r="1557" spans="1:2">
      <c r="A1557"/>
      <c r="B1557"/>
    </row>
    <row r="1558" spans="1:2">
      <c r="A1558"/>
      <c r="B1558"/>
    </row>
    <row r="1559" spans="1:2">
      <c r="A1559"/>
      <c r="B1559"/>
    </row>
    <row r="1560" spans="1:2">
      <c r="A1560"/>
      <c r="B1560"/>
    </row>
    <row r="1561" spans="1:2">
      <c r="A1561"/>
      <c r="B1561"/>
    </row>
    <row r="1562" spans="1:2">
      <c r="A1562"/>
      <c r="B1562"/>
    </row>
    <row r="1563" spans="1:2">
      <c r="A1563"/>
      <c r="B1563"/>
    </row>
    <row r="1564" spans="1:2">
      <c r="A1564"/>
      <c r="B1564"/>
    </row>
    <row r="1565" spans="1:2">
      <c r="A1565"/>
      <c r="B1565"/>
    </row>
    <row r="1566" spans="1:2">
      <c r="A1566"/>
      <c r="B1566"/>
    </row>
    <row r="1567" spans="1:2">
      <c r="A1567"/>
      <c r="B1567"/>
    </row>
    <row r="1568" spans="1:2">
      <c r="A1568"/>
      <c r="B1568"/>
    </row>
    <row r="1569" spans="1:2">
      <c r="A1569"/>
      <c r="B1569"/>
    </row>
    <row r="1570" spans="1:2">
      <c r="A1570"/>
      <c r="B1570"/>
    </row>
    <row r="1571" spans="1:2">
      <c r="A1571"/>
      <c r="B1571"/>
    </row>
    <row r="1572" spans="1:2">
      <c r="A1572"/>
      <c r="B1572"/>
    </row>
    <row r="1573" spans="1:2">
      <c r="A1573"/>
      <c r="B1573"/>
    </row>
    <row r="1574" spans="1:2">
      <c r="A1574"/>
      <c r="B1574"/>
    </row>
    <row r="1575" spans="1:2">
      <c r="A1575"/>
      <c r="B1575"/>
    </row>
    <row r="1576" spans="1:2">
      <c r="A1576"/>
      <c r="B1576"/>
    </row>
    <row r="1577" spans="1:2">
      <c r="A1577"/>
      <c r="B1577"/>
    </row>
    <row r="1578" spans="1:2">
      <c r="A1578"/>
      <c r="B1578"/>
    </row>
    <row r="1579" spans="1:2">
      <c r="A1579"/>
      <c r="B1579"/>
    </row>
    <row r="1580" spans="1:2">
      <c r="A1580"/>
      <c r="B1580"/>
    </row>
    <row r="1581" spans="1:2">
      <c r="A1581"/>
      <c r="B1581"/>
    </row>
    <row r="1582" spans="1:2">
      <c r="A1582"/>
      <c r="B1582"/>
    </row>
    <row r="1583" spans="1:2">
      <c r="A1583"/>
      <c r="B1583"/>
    </row>
    <row r="1584" spans="1:2">
      <c r="A1584"/>
      <c r="B1584"/>
    </row>
    <row r="1585" spans="1:2">
      <c r="A1585"/>
      <c r="B1585"/>
    </row>
    <row r="1586" spans="1:2">
      <c r="A1586"/>
      <c r="B1586"/>
    </row>
    <row r="1587" spans="1:2">
      <c r="A1587"/>
      <c r="B1587"/>
    </row>
    <row r="1588" spans="1:2">
      <c r="A1588"/>
      <c r="B1588"/>
    </row>
    <row r="1589" spans="1:2">
      <c r="A1589"/>
      <c r="B1589"/>
    </row>
    <row r="1590" spans="1:2">
      <c r="A1590"/>
      <c r="B1590"/>
    </row>
    <row r="1591" spans="1:2">
      <c r="A1591"/>
      <c r="B1591"/>
    </row>
    <row r="1592" spans="1:2">
      <c r="A1592"/>
      <c r="B1592"/>
    </row>
    <row r="1593" spans="1:2">
      <c r="A1593"/>
      <c r="B1593"/>
    </row>
    <row r="1594" spans="1:2">
      <c r="A1594"/>
      <c r="B1594"/>
    </row>
    <row r="1595" spans="1:2">
      <c r="A1595"/>
      <c r="B1595"/>
    </row>
    <row r="1596" spans="1:2">
      <c r="A1596"/>
      <c r="B1596"/>
    </row>
    <row r="1597" spans="1:2">
      <c r="A1597"/>
      <c r="B1597"/>
    </row>
    <row r="1598" spans="1:2">
      <c r="A1598"/>
      <c r="B1598"/>
    </row>
    <row r="1599" spans="1:2">
      <c r="A1599"/>
      <c r="B1599"/>
    </row>
    <row r="1600" spans="1:2">
      <c r="A1600"/>
      <c r="B1600"/>
    </row>
    <row r="1601" spans="1:2">
      <c r="A1601"/>
      <c r="B1601"/>
    </row>
    <row r="1602" spans="1:2">
      <c r="A1602"/>
      <c r="B1602"/>
    </row>
    <row r="1603" spans="1:2">
      <c r="A1603"/>
      <c r="B1603"/>
    </row>
    <row r="1604" spans="1:2">
      <c r="A1604"/>
      <c r="B1604"/>
    </row>
    <row r="1605" spans="1:2">
      <c r="A1605"/>
      <c r="B1605"/>
    </row>
    <row r="1606" spans="1:2">
      <c r="A1606"/>
      <c r="B1606"/>
    </row>
    <row r="1607" spans="1:2">
      <c r="A1607"/>
      <c r="B1607"/>
    </row>
    <row r="1608" spans="1:2">
      <c r="A1608"/>
      <c r="B1608"/>
    </row>
    <row r="1609" spans="1:2">
      <c r="A1609"/>
      <c r="B1609"/>
    </row>
    <row r="1610" spans="1:2">
      <c r="A1610"/>
      <c r="B1610"/>
    </row>
    <row r="1611" spans="1:2">
      <c r="A1611"/>
      <c r="B1611"/>
    </row>
    <row r="1612" spans="1:2">
      <c r="A1612"/>
      <c r="B1612"/>
    </row>
    <row r="1613" spans="1:2">
      <c r="A1613"/>
      <c r="B1613"/>
    </row>
    <row r="1614" spans="1:2">
      <c r="A1614"/>
      <c r="B1614"/>
    </row>
    <row r="1615" spans="1:2">
      <c r="A1615"/>
      <c r="B1615"/>
    </row>
    <row r="1616" spans="1:2">
      <c r="A1616"/>
      <c r="B1616"/>
    </row>
    <row r="1617" spans="1:2">
      <c r="A1617"/>
      <c r="B1617"/>
    </row>
    <row r="1618" spans="1:2">
      <c r="A1618"/>
      <c r="B1618"/>
    </row>
    <row r="1619" spans="1:2">
      <c r="A1619"/>
      <c r="B1619"/>
    </row>
    <row r="1620" spans="1:2">
      <c r="A1620"/>
      <c r="B1620"/>
    </row>
    <row r="1621" spans="1:2">
      <c r="A1621"/>
      <c r="B1621"/>
    </row>
    <row r="1622" spans="1:2">
      <c r="A1622"/>
      <c r="B1622"/>
    </row>
    <row r="1623" spans="1:2">
      <c r="A1623"/>
      <c r="B1623"/>
    </row>
    <row r="1624" spans="1:2">
      <c r="A1624"/>
      <c r="B1624"/>
    </row>
    <row r="1625" spans="1:2">
      <c r="A1625"/>
      <c r="B1625"/>
    </row>
    <row r="1626" spans="1:2">
      <c r="A1626"/>
      <c r="B1626"/>
    </row>
    <row r="1627" spans="1:2">
      <c r="A1627"/>
      <c r="B1627"/>
    </row>
    <row r="1628" spans="1:2">
      <c r="A1628"/>
      <c r="B1628"/>
    </row>
    <row r="1629" spans="1:2">
      <c r="A1629"/>
      <c r="B1629"/>
    </row>
    <row r="1630" spans="1:2">
      <c r="A1630"/>
      <c r="B1630"/>
    </row>
    <row r="1631" spans="1:2">
      <c r="A1631"/>
      <c r="B1631"/>
    </row>
    <row r="1632" spans="1:2">
      <c r="A1632"/>
      <c r="B1632"/>
    </row>
    <row r="1633" spans="1:2">
      <c r="A1633"/>
      <c r="B1633"/>
    </row>
    <row r="1634" spans="1:2">
      <c r="A1634"/>
      <c r="B1634"/>
    </row>
    <row r="1635" spans="1:2">
      <c r="A1635"/>
      <c r="B1635"/>
    </row>
    <row r="1636" spans="1:2">
      <c r="A1636"/>
      <c r="B1636"/>
    </row>
    <row r="1637" spans="1:2">
      <c r="A1637"/>
      <c r="B1637"/>
    </row>
    <row r="1638" spans="1:2">
      <c r="A1638"/>
      <c r="B1638"/>
    </row>
    <row r="1639" spans="1:2">
      <c r="A1639"/>
      <c r="B1639"/>
    </row>
    <row r="1640" spans="1:2">
      <c r="A1640"/>
      <c r="B1640"/>
    </row>
    <row r="1641" spans="1:2">
      <c r="A1641"/>
      <c r="B1641"/>
    </row>
    <row r="1642" spans="1:2">
      <c r="A1642"/>
      <c r="B1642"/>
    </row>
    <row r="1643" spans="1:2">
      <c r="A1643"/>
      <c r="B1643"/>
    </row>
    <row r="1644" spans="1:2">
      <c r="A1644"/>
      <c r="B1644"/>
    </row>
    <row r="1645" spans="1:2">
      <c r="A1645"/>
      <c r="B1645"/>
    </row>
    <row r="1646" spans="1:2">
      <c r="A1646"/>
      <c r="B1646"/>
    </row>
    <row r="1647" spans="1:2">
      <c r="A1647"/>
      <c r="B1647"/>
    </row>
    <row r="1648" spans="1:2">
      <c r="A1648"/>
      <c r="B1648"/>
    </row>
    <row r="1649" spans="1:2">
      <c r="A1649"/>
      <c r="B1649"/>
    </row>
    <row r="1650" spans="1:2">
      <c r="A1650"/>
      <c r="B1650"/>
    </row>
    <row r="1651" spans="1:2">
      <c r="A1651"/>
      <c r="B1651"/>
    </row>
    <row r="1652" spans="1:2">
      <c r="A1652"/>
      <c r="B1652"/>
    </row>
    <row r="1653" spans="1:2">
      <c r="A1653"/>
      <c r="B1653"/>
    </row>
    <row r="1654" spans="1:2">
      <c r="A1654"/>
      <c r="B1654"/>
    </row>
    <row r="1655" spans="1:2">
      <c r="A1655"/>
      <c r="B1655"/>
    </row>
    <row r="1656" spans="1:2">
      <c r="A1656"/>
      <c r="B1656"/>
    </row>
    <row r="1657" spans="1:2">
      <c r="A1657"/>
      <c r="B1657"/>
    </row>
    <row r="1658" spans="1:2">
      <c r="A1658"/>
      <c r="B1658"/>
    </row>
    <row r="1659" spans="1:2">
      <c r="A1659"/>
      <c r="B1659"/>
    </row>
    <row r="1660" spans="1:2">
      <c r="A1660"/>
      <c r="B1660"/>
    </row>
    <row r="1661" spans="1:2">
      <c r="A1661"/>
      <c r="B1661"/>
    </row>
    <row r="1662" spans="1:2">
      <c r="A1662"/>
      <c r="B1662"/>
    </row>
    <row r="1663" spans="1:2">
      <c r="A1663"/>
      <c r="B1663"/>
    </row>
    <row r="1664" spans="1:2">
      <c r="A1664"/>
      <c r="B1664"/>
    </row>
    <row r="1665" spans="1:2">
      <c r="A1665"/>
      <c r="B1665"/>
    </row>
    <row r="1666" spans="1:2">
      <c r="A1666"/>
      <c r="B1666"/>
    </row>
    <row r="1667" spans="1:2">
      <c r="A1667"/>
      <c r="B1667"/>
    </row>
    <row r="1668" spans="1:2">
      <c r="A1668"/>
      <c r="B1668"/>
    </row>
    <row r="1669" spans="1:2">
      <c r="A1669"/>
      <c r="B1669"/>
    </row>
    <row r="1670" spans="1:2">
      <c r="A1670"/>
      <c r="B1670"/>
    </row>
    <row r="1671" spans="1:2">
      <c r="A1671"/>
      <c r="B1671"/>
    </row>
    <row r="1672" spans="1:2">
      <c r="A1672"/>
      <c r="B1672"/>
    </row>
    <row r="1673" spans="1:2">
      <c r="A1673"/>
      <c r="B1673"/>
    </row>
    <row r="1674" spans="1:2">
      <c r="A1674"/>
      <c r="B1674"/>
    </row>
    <row r="1675" spans="1:2">
      <c r="A1675"/>
      <c r="B1675"/>
    </row>
    <row r="1676" spans="1:2">
      <c r="A1676"/>
      <c r="B1676"/>
    </row>
    <row r="1677" spans="1:2">
      <c r="A1677"/>
      <c r="B1677"/>
    </row>
    <row r="1678" spans="1:2">
      <c r="A1678"/>
      <c r="B1678"/>
    </row>
    <row r="1679" spans="1:2">
      <c r="A1679"/>
      <c r="B1679"/>
    </row>
    <row r="1680" spans="1:2">
      <c r="A1680"/>
      <c r="B1680"/>
    </row>
    <row r="1681" spans="1:2">
      <c r="A1681"/>
      <c r="B1681"/>
    </row>
    <row r="1682" spans="1:2">
      <c r="A1682"/>
      <c r="B1682"/>
    </row>
    <row r="1683" spans="1:2">
      <c r="A1683"/>
      <c r="B1683"/>
    </row>
    <row r="1684" spans="1:2">
      <c r="A1684"/>
      <c r="B1684"/>
    </row>
    <row r="1685" spans="1:2">
      <c r="A1685"/>
      <c r="B1685"/>
    </row>
    <row r="1686" spans="1:2">
      <c r="A1686"/>
      <c r="B1686"/>
    </row>
    <row r="1687" spans="1:2">
      <c r="A1687"/>
      <c r="B1687"/>
    </row>
    <row r="1688" spans="1:2">
      <c r="A1688"/>
      <c r="B1688"/>
    </row>
    <row r="1689" spans="1:2">
      <c r="A1689"/>
      <c r="B1689"/>
    </row>
    <row r="1690" spans="1:2">
      <c r="A1690"/>
      <c r="B1690"/>
    </row>
    <row r="1691" spans="1:2">
      <c r="A1691"/>
      <c r="B1691"/>
    </row>
    <row r="1692" spans="1:2">
      <c r="A1692"/>
      <c r="B1692"/>
    </row>
    <row r="1693" spans="1:2">
      <c r="A1693"/>
      <c r="B1693"/>
    </row>
    <row r="1694" spans="1:2">
      <c r="A1694"/>
      <c r="B1694"/>
    </row>
    <row r="1695" spans="1:2">
      <c r="A1695"/>
      <c r="B1695"/>
    </row>
    <row r="1696" spans="1:2">
      <c r="A1696"/>
      <c r="B1696"/>
    </row>
    <row r="1697" spans="1:2">
      <c r="A1697"/>
      <c r="B1697"/>
    </row>
    <row r="1698" spans="1:2">
      <c r="A1698"/>
      <c r="B1698"/>
    </row>
    <row r="1699" spans="1:2">
      <c r="A1699"/>
      <c r="B1699"/>
    </row>
    <row r="1700" spans="1:2">
      <c r="A1700"/>
      <c r="B1700"/>
    </row>
    <row r="1701" spans="1:2">
      <c r="A1701"/>
      <c r="B1701"/>
    </row>
    <row r="1702" spans="1:2">
      <c r="A1702"/>
      <c r="B1702"/>
    </row>
    <row r="1703" spans="1:2">
      <c r="A1703"/>
      <c r="B1703"/>
    </row>
    <row r="1704" spans="1:2">
      <c r="A1704"/>
      <c r="B1704"/>
    </row>
    <row r="1705" spans="1:2">
      <c r="A1705"/>
      <c r="B1705"/>
    </row>
    <row r="1706" spans="1:2">
      <c r="A1706"/>
      <c r="B1706"/>
    </row>
    <row r="1707" spans="1:2">
      <c r="A1707"/>
      <c r="B1707"/>
    </row>
    <row r="1708" spans="1:2">
      <c r="A1708"/>
      <c r="B1708"/>
    </row>
    <row r="1709" spans="1:2">
      <c r="A1709"/>
      <c r="B1709"/>
    </row>
    <row r="1710" spans="1:2">
      <c r="A1710"/>
      <c r="B1710"/>
    </row>
    <row r="1711" spans="1:2">
      <c r="A1711"/>
      <c r="B1711"/>
    </row>
    <row r="1712" spans="1:2">
      <c r="A1712"/>
      <c r="B1712"/>
    </row>
    <row r="1713" spans="1:2">
      <c r="A1713"/>
      <c r="B1713"/>
    </row>
    <row r="1714" spans="1:2">
      <c r="A1714"/>
      <c r="B1714"/>
    </row>
    <row r="1715" spans="1:2">
      <c r="A1715"/>
      <c r="B1715"/>
    </row>
    <row r="1716" spans="1:2">
      <c r="A1716"/>
      <c r="B1716"/>
    </row>
    <row r="1717" spans="1:2">
      <c r="A1717"/>
      <c r="B1717"/>
    </row>
    <row r="1718" spans="1:2">
      <c r="A1718"/>
      <c r="B1718"/>
    </row>
    <row r="1719" spans="1:2">
      <c r="A1719"/>
      <c r="B1719"/>
    </row>
    <row r="1720" spans="1:2">
      <c r="A1720"/>
      <c r="B1720"/>
    </row>
    <row r="1721" spans="1:2">
      <c r="A1721"/>
      <c r="B1721"/>
    </row>
    <row r="1722" spans="1:2">
      <c r="A1722"/>
      <c r="B1722"/>
    </row>
    <row r="1723" spans="1:2">
      <c r="A1723"/>
      <c r="B1723"/>
    </row>
    <row r="1724" spans="1:2">
      <c r="A1724"/>
      <c r="B1724"/>
    </row>
    <row r="1725" spans="1:2">
      <c r="A1725"/>
      <c r="B1725"/>
    </row>
    <row r="1726" spans="1:2">
      <c r="A1726"/>
      <c r="B1726"/>
    </row>
    <row r="1727" spans="1:2">
      <c r="A1727"/>
      <c r="B1727"/>
    </row>
    <row r="1728" spans="1:2">
      <c r="A1728"/>
      <c r="B1728"/>
    </row>
    <row r="1729" spans="1:2">
      <c r="A1729"/>
      <c r="B1729"/>
    </row>
    <row r="1730" spans="1:2">
      <c r="A1730"/>
      <c r="B1730"/>
    </row>
    <row r="1731" spans="1:2">
      <c r="A1731"/>
      <c r="B1731"/>
    </row>
    <row r="1732" spans="1:2">
      <c r="A1732"/>
      <c r="B1732"/>
    </row>
    <row r="1733" spans="1:2">
      <c r="A1733"/>
      <c r="B1733"/>
    </row>
    <row r="1734" spans="1:2">
      <c r="A1734"/>
      <c r="B1734"/>
    </row>
    <row r="1735" spans="1:2">
      <c r="A1735"/>
      <c r="B1735"/>
    </row>
    <row r="1736" spans="1:2">
      <c r="A1736"/>
      <c r="B1736"/>
    </row>
    <row r="1737" spans="1:2">
      <c r="A1737"/>
      <c r="B1737"/>
    </row>
    <row r="1738" spans="1:2">
      <c r="A1738"/>
      <c r="B1738"/>
    </row>
    <row r="1739" spans="1:2">
      <c r="A1739"/>
      <c r="B1739"/>
    </row>
    <row r="1740" spans="1:2">
      <c r="A1740"/>
      <c r="B1740"/>
    </row>
    <row r="1741" spans="1:2">
      <c r="A1741"/>
      <c r="B1741"/>
    </row>
    <row r="1742" spans="1:2">
      <c r="A1742"/>
      <c r="B1742"/>
    </row>
    <row r="1743" spans="1:2">
      <c r="A1743"/>
      <c r="B1743"/>
    </row>
    <row r="1744" spans="1:2">
      <c r="A1744"/>
      <c r="B1744"/>
    </row>
    <row r="1745" spans="1:2">
      <c r="A1745"/>
      <c r="B1745"/>
    </row>
    <row r="1746" spans="1:2">
      <c r="A1746"/>
      <c r="B1746"/>
    </row>
    <row r="1747" spans="1:2">
      <c r="A1747"/>
      <c r="B1747"/>
    </row>
    <row r="1748" spans="1:2">
      <c r="A1748"/>
      <c r="B1748"/>
    </row>
    <row r="1749" spans="1:2">
      <c r="A1749"/>
      <c r="B1749"/>
    </row>
    <row r="1750" spans="1:2">
      <c r="A1750"/>
      <c r="B1750"/>
    </row>
    <row r="1751" spans="1:2">
      <c r="A1751"/>
      <c r="B1751"/>
    </row>
    <row r="1752" spans="1:2">
      <c r="A1752"/>
      <c r="B1752"/>
    </row>
    <row r="1753" spans="1:2">
      <c r="A1753"/>
      <c r="B1753"/>
    </row>
    <row r="1754" spans="1:2">
      <c r="A1754"/>
      <c r="B1754"/>
    </row>
    <row r="1755" spans="1:2">
      <c r="A1755"/>
      <c r="B1755"/>
    </row>
    <row r="1756" spans="1:2">
      <c r="A1756"/>
      <c r="B1756"/>
    </row>
    <row r="1757" spans="1:2">
      <c r="A1757"/>
      <c r="B1757"/>
    </row>
    <row r="1758" spans="1:2">
      <c r="A1758"/>
      <c r="B1758"/>
    </row>
    <row r="1759" spans="1:2">
      <c r="A1759"/>
      <c r="B1759"/>
    </row>
    <row r="1760" spans="1:2">
      <c r="A1760"/>
      <c r="B1760"/>
    </row>
    <row r="1761" spans="1:2">
      <c r="A1761"/>
      <c r="B1761"/>
    </row>
    <row r="1762" spans="1:2">
      <c r="A1762"/>
      <c r="B1762"/>
    </row>
    <row r="1763" spans="1:2">
      <c r="A1763"/>
      <c r="B1763"/>
    </row>
    <row r="1764" spans="1:2">
      <c r="A1764"/>
      <c r="B1764"/>
    </row>
    <row r="1765" spans="1:2">
      <c r="A1765"/>
      <c r="B1765"/>
    </row>
    <row r="1766" spans="1:2">
      <c r="A1766"/>
      <c r="B1766"/>
    </row>
    <row r="1767" spans="1:2">
      <c r="A1767"/>
      <c r="B1767"/>
    </row>
    <row r="1768" spans="1:2">
      <c r="A1768"/>
      <c r="B1768"/>
    </row>
    <row r="1769" spans="1:2">
      <c r="A1769"/>
      <c r="B1769"/>
    </row>
    <row r="1770" spans="1:2">
      <c r="A1770"/>
      <c r="B1770"/>
    </row>
    <row r="1771" spans="1:2">
      <c r="A1771"/>
      <c r="B1771"/>
    </row>
    <row r="1772" spans="1:2">
      <c r="A1772"/>
      <c r="B1772"/>
    </row>
    <row r="1773" spans="1:2">
      <c r="A1773"/>
      <c r="B1773"/>
    </row>
    <row r="1774" spans="1:2">
      <c r="A1774"/>
      <c r="B1774"/>
    </row>
    <row r="1775" spans="1:2">
      <c r="A1775"/>
      <c r="B1775"/>
    </row>
    <row r="1776" spans="1:2">
      <c r="A1776"/>
      <c r="B1776"/>
    </row>
    <row r="1777" spans="1:2">
      <c r="A1777"/>
      <c r="B1777"/>
    </row>
    <row r="1778" spans="1:2">
      <c r="A1778"/>
      <c r="B1778"/>
    </row>
    <row r="1779" spans="1:2">
      <c r="A1779"/>
      <c r="B1779"/>
    </row>
    <row r="1780" spans="1:2">
      <c r="A1780"/>
      <c r="B1780"/>
    </row>
    <row r="1781" spans="1:2">
      <c r="A1781"/>
      <c r="B1781"/>
    </row>
    <row r="1782" spans="1:2">
      <c r="A1782"/>
      <c r="B1782"/>
    </row>
    <row r="1783" spans="1:2">
      <c r="A1783"/>
      <c r="B1783"/>
    </row>
    <row r="1784" spans="1:2">
      <c r="A1784"/>
      <c r="B1784"/>
    </row>
    <row r="1785" spans="1:2">
      <c r="A1785"/>
      <c r="B1785"/>
    </row>
    <row r="1786" spans="1:2">
      <c r="A1786"/>
      <c r="B1786"/>
    </row>
    <row r="1787" spans="1:2">
      <c r="A1787"/>
      <c r="B1787"/>
    </row>
    <row r="1788" spans="1:2">
      <c r="A1788"/>
      <c r="B1788"/>
    </row>
    <row r="1789" spans="1:2">
      <c r="A1789"/>
      <c r="B1789"/>
    </row>
    <row r="1790" spans="1:2">
      <c r="A1790"/>
      <c r="B1790"/>
    </row>
    <row r="1791" spans="1:2">
      <c r="A1791"/>
      <c r="B1791"/>
    </row>
    <row r="1792" spans="1:2">
      <c r="A1792"/>
      <c r="B1792"/>
    </row>
    <row r="1793" spans="1:2">
      <c r="A1793"/>
      <c r="B1793"/>
    </row>
    <row r="1794" spans="1:2">
      <c r="A1794"/>
      <c r="B1794"/>
    </row>
    <row r="1795" spans="1:2">
      <c r="A1795"/>
      <c r="B1795"/>
    </row>
    <row r="1796" spans="1:2">
      <c r="A1796"/>
      <c r="B1796"/>
    </row>
    <row r="1797" spans="1:2">
      <c r="A1797"/>
      <c r="B1797"/>
    </row>
    <row r="1798" spans="1:2">
      <c r="A1798"/>
      <c r="B1798"/>
    </row>
    <row r="1799" spans="1:2">
      <c r="A1799"/>
      <c r="B1799"/>
    </row>
    <row r="1800" spans="1:2">
      <c r="A1800"/>
      <c r="B1800"/>
    </row>
    <row r="1801" spans="1:2">
      <c r="A1801"/>
      <c r="B1801"/>
    </row>
    <row r="1802" spans="1:2">
      <c r="A1802"/>
      <c r="B1802"/>
    </row>
    <row r="1803" spans="1:2">
      <c r="A1803"/>
      <c r="B1803"/>
    </row>
    <row r="1804" spans="1:2">
      <c r="A1804"/>
      <c r="B1804"/>
    </row>
    <row r="1805" spans="1:2">
      <c r="A1805"/>
      <c r="B1805"/>
    </row>
    <row r="1806" spans="1:2">
      <c r="A1806"/>
      <c r="B1806"/>
    </row>
    <row r="1807" spans="1:2">
      <c r="A1807"/>
      <c r="B1807"/>
    </row>
    <row r="1808" spans="1:2">
      <c r="A1808"/>
      <c r="B1808"/>
    </row>
    <row r="1809" spans="1:2">
      <c r="A1809"/>
      <c r="B1809"/>
    </row>
    <row r="1810" spans="1:2">
      <c r="A1810"/>
      <c r="B1810"/>
    </row>
    <row r="1811" spans="1:2">
      <c r="A1811"/>
      <c r="B1811"/>
    </row>
    <row r="1812" spans="1:2">
      <c r="A1812"/>
      <c r="B1812"/>
    </row>
    <row r="1813" spans="1:2">
      <c r="A1813"/>
      <c r="B1813"/>
    </row>
    <row r="1814" spans="1:2">
      <c r="A1814"/>
      <c r="B1814"/>
    </row>
    <row r="1815" spans="1:2">
      <c r="A1815"/>
      <c r="B1815"/>
    </row>
    <row r="1816" spans="1:2">
      <c r="A1816"/>
      <c r="B1816"/>
    </row>
    <row r="1817" spans="1:2">
      <c r="A1817"/>
      <c r="B1817"/>
    </row>
    <row r="1818" spans="1:2">
      <c r="A1818"/>
      <c r="B1818"/>
    </row>
    <row r="1819" spans="1:2">
      <c r="A1819"/>
      <c r="B1819"/>
    </row>
    <row r="1820" spans="1:2">
      <c r="A1820"/>
      <c r="B1820"/>
    </row>
    <row r="1821" spans="1:2">
      <c r="A1821"/>
      <c r="B1821"/>
    </row>
    <row r="1822" spans="1:2">
      <c r="A1822"/>
      <c r="B1822"/>
    </row>
    <row r="1823" spans="1:2">
      <c r="A1823"/>
      <c r="B1823"/>
    </row>
    <row r="1824" spans="1:2">
      <c r="A1824"/>
      <c r="B1824"/>
    </row>
    <row r="1825" spans="1:2">
      <c r="A1825"/>
      <c r="B1825"/>
    </row>
    <row r="1826" spans="1:2">
      <c r="A1826"/>
      <c r="B1826"/>
    </row>
    <row r="1827" spans="1:2">
      <c r="A1827"/>
      <c r="B1827"/>
    </row>
    <row r="1828" spans="1:2">
      <c r="A1828"/>
      <c r="B1828"/>
    </row>
    <row r="1829" spans="1:2">
      <c r="A1829"/>
      <c r="B1829"/>
    </row>
    <row r="1830" spans="1:2">
      <c r="A1830"/>
      <c r="B1830"/>
    </row>
    <row r="1831" spans="1:2">
      <c r="A1831"/>
      <c r="B1831"/>
    </row>
    <row r="1832" spans="1:2">
      <c r="A1832"/>
      <c r="B1832"/>
    </row>
    <row r="1833" spans="1:2">
      <c r="A1833"/>
      <c r="B1833"/>
    </row>
    <row r="1834" spans="1:2">
      <c r="A1834"/>
      <c r="B1834"/>
    </row>
    <row r="1835" spans="1:2">
      <c r="A1835"/>
      <c r="B1835"/>
    </row>
    <row r="1836" spans="1:2">
      <c r="A1836"/>
      <c r="B1836"/>
    </row>
    <row r="1837" spans="1:2">
      <c r="A1837"/>
      <c r="B1837"/>
    </row>
    <row r="1838" spans="1:2">
      <c r="A1838"/>
      <c r="B1838"/>
    </row>
    <row r="1839" spans="1:2">
      <c r="A1839"/>
      <c r="B1839"/>
    </row>
    <row r="1840" spans="1:2">
      <c r="A1840"/>
      <c r="B1840"/>
    </row>
    <row r="1841" spans="1:2">
      <c r="A1841"/>
      <c r="B1841"/>
    </row>
    <row r="1842" spans="1:2">
      <c r="A1842"/>
      <c r="B1842"/>
    </row>
    <row r="1843" spans="1:2">
      <c r="A1843"/>
      <c r="B1843"/>
    </row>
    <row r="1844" spans="1:2">
      <c r="A1844"/>
      <c r="B1844"/>
    </row>
    <row r="1845" spans="1:2">
      <c r="A1845"/>
      <c r="B1845"/>
    </row>
    <row r="1846" spans="1:2">
      <c r="A1846"/>
      <c r="B1846"/>
    </row>
    <row r="1847" spans="1:2">
      <c r="A1847"/>
      <c r="B1847"/>
    </row>
    <row r="1848" spans="1:2">
      <c r="A1848"/>
      <c r="B1848"/>
    </row>
    <row r="1849" spans="1:2">
      <c r="A1849"/>
      <c r="B1849"/>
    </row>
    <row r="1850" spans="1:2">
      <c r="A1850"/>
      <c r="B1850"/>
    </row>
    <row r="1851" spans="1:2">
      <c r="A1851"/>
      <c r="B1851"/>
    </row>
    <row r="1852" spans="1:2">
      <c r="A1852"/>
      <c r="B1852"/>
    </row>
    <row r="1853" spans="1:2">
      <c r="A1853"/>
      <c r="B1853"/>
    </row>
    <row r="1854" spans="1:2">
      <c r="A1854"/>
      <c r="B1854"/>
    </row>
    <row r="1855" spans="1:2">
      <c r="A1855"/>
      <c r="B1855"/>
    </row>
    <row r="1856" spans="1:2">
      <c r="A1856"/>
      <c r="B1856"/>
    </row>
    <row r="1857" spans="1:2">
      <c r="A1857"/>
      <c r="B1857"/>
    </row>
    <row r="1858" spans="1:2">
      <c r="A1858"/>
      <c r="B1858"/>
    </row>
    <row r="1859" spans="1:2">
      <c r="A1859"/>
      <c r="B1859"/>
    </row>
    <row r="1860" spans="1:2">
      <c r="A1860"/>
      <c r="B1860"/>
    </row>
    <row r="1861" spans="1:2">
      <c r="A1861"/>
      <c r="B1861"/>
    </row>
    <row r="1862" spans="1:2">
      <c r="A1862"/>
      <c r="B1862"/>
    </row>
    <row r="1863" spans="1:2">
      <c r="A1863"/>
      <c r="B1863"/>
    </row>
    <row r="1864" spans="1:2">
      <c r="A1864"/>
      <c r="B1864"/>
    </row>
    <row r="1865" spans="1:2">
      <c r="A1865"/>
      <c r="B1865"/>
    </row>
    <row r="1866" spans="1:2">
      <c r="A1866"/>
      <c r="B1866"/>
    </row>
    <row r="1867" spans="1:2">
      <c r="A1867"/>
      <c r="B1867"/>
    </row>
    <row r="1868" spans="1:2">
      <c r="A1868"/>
      <c r="B1868"/>
    </row>
    <row r="1869" spans="1:2">
      <c r="A1869"/>
      <c r="B1869"/>
    </row>
    <row r="1870" spans="1:2">
      <c r="A1870"/>
      <c r="B1870"/>
    </row>
    <row r="1871" spans="1:2">
      <c r="A1871"/>
      <c r="B1871"/>
    </row>
    <row r="1872" spans="1:2">
      <c r="A1872"/>
      <c r="B1872"/>
    </row>
    <row r="1873" spans="1:2">
      <c r="A1873"/>
      <c r="B1873"/>
    </row>
    <row r="1874" spans="1:2">
      <c r="A1874"/>
      <c r="B1874"/>
    </row>
    <row r="1875" spans="1:2">
      <c r="A1875"/>
      <c r="B1875"/>
    </row>
    <row r="1876" spans="1:2">
      <c r="A1876"/>
      <c r="B1876"/>
    </row>
    <row r="1877" spans="1:2">
      <c r="A1877"/>
      <c r="B1877"/>
    </row>
    <row r="1878" spans="1:2">
      <c r="A1878"/>
      <c r="B1878"/>
    </row>
    <row r="1879" spans="1:2">
      <c r="A1879"/>
      <c r="B1879"/>
    </row>
    <row r="1880" spans="1:2">
      <c r="A1880"/>
      <c r="B1880"/>
    </row>
    <row r="1881" spans="1:2">
      <c r="A1881"/>
      <c r="B1881"/>
    </row>
    <row r="1882" spans="1:2">
      <c r="A1882"/>
      <c r="B1882"/>
    </row>
    <row r="1883" spans="1:2">
      <c r="A1883"/>
      <c r="B1883"/>
    </row>
    <row r="1884" spans="1:2">
      <c r="A1884"/>
      <c r="B1884"/>
    </row>
    <row r="1885" spans="1:2">
      <c r="A1885"/>
      <c r="B1885"/>
    </row>
    <row r="1886" spans="1:2">
      <c r="A1886"/>
      <c r="B1886"/>
    </row>
    <row r="1887" spans="1:2">
      <c r="A1887"/>
      <c r="B1887"/>
    </row>
    <row r="1888" spans="1:2">
      <c r="A1888"/>
      <c r="B1888"/>
    </row>
    <row r="1889" spans="1:2">
      <c r="A1889"/>
      <c r="B1889"/>
    </row>
    <row r="1890" spans="1:2">
      <c r="A1890"/>
      <c r="B1890"/>
    </row>
    <row r="1891" spans="1:2">
      <c r="A1891"/>
      <c r="B1891"/>
    </row>
    <row r="1892" spans="1:2">
      <c r="A1892"/>
      <c r="B1892"/>
    </row>
    <row r="1893" spans="1:2">
      <c r="A1893"/>
      <c r="B1893"/>
    </row>
    <row r="1894" spans="1:2">
      <c r="A1894"/>
      <c r="B1894"/>
    </row>
    <row r="1895" spans="1:2">
      <c r="A1895"/>
      <c r="B1895"/>
    </row>
    <row r="1896" spans="1:2">
      <c r="A1896"/>
      <c r="B1896"/>
    </row>
    <row r="1897" spans="1:2">
      <c r="A1897"/>
      <c r="B1897"/>
    </row>
    <row r="1898" spans="1:2">
      <c r="A1898"/>
      <c r="B1898"/>
    </row>
    <row r="1899" spans="1:2">
      <c r="A1899"/>
      <c r="B1899"/>
    </row>
    <row r="1900" spans="1:2">
      <c r="A1900"/>
      <c r="B1900"/>
    </row>
    <row r="1901" spans="1:2">
      <c r="A1901"/>
      <c r="B1901"/>
    </row>
    <row r="1902" spans="1:2">
      <c r="A1902"/>
      <c r="B1902"/>
    </row>
    <row r="1903" spans="1:2">
      <c r="A1903"/>
      <c r="B1903"/>
    </row>
    <row r="1904" spans="1:2">
      <c r="A1904"/>
      <c r="B1904"/>
    </row>
    <row r="1905" spans="1:2">
      <c r="A1905"/>
      <c r="B1905"/>
    </row>
    <row r="1906" spans="1:2">
      <c r="A1906"/>
      <c r="B1906"/>
    </row>
    <row r="1907" spans="1:2">
      <c r="A1907"/>
      <c r="B1907"/>
    </row>
    <row r="1908" spans="1:2">
      <c r="A1908"/>
      <c r="B1908"/>
    </row>
    <row r="1909" spans="1:2">
      <c r="A1909"/>
      <c r="B1909"/>
    </row>
    <row r="1910" spans="1:2">
      <c r="A1910"/>
      <c r="B1910"/>
    </row>
    <row r="1911" spans="1:2">
      <c r="A1911"/>
      <c r="B1911"/>
    </row>
    <row r="1912" spans="1:2">
      <c r="A1912"/>
      <c r="B1912"/>
    </row>
    <row r="1913" spans="1:2">
      <c r="A1913"/>
      <c r="B1913"/>
    </row>
    <row r="1914" spans="1:2">
      <c r="A1914"/>
      <c r="B1914"/>
    </row>
    <row r="1915" spans="1:2">
      <c r="A1915"/>
      <c r="B1915"/>
    </row>
    <row r="1916" spans="1:2">
      <c r="A1916"/>
      <c r="B1916"/>
    </row>
    <row r="1917" spans="1:2">
      <c r="A1917"/>
      <c r="B1917"/>
    </row>
    <row r="1918" spans="1:2">
      <c r="A1918"/>
      <c r="B1918"/>
    </row>
    <row r="1919" spans="1:2">
      <c r="A1919"/>
      <c r="B1919"/>
    </row>
    <row r="1920" spans="1:2">
      <c r="A1920"/>
      <c r="B1920"/>
    </row>
    <row r="1921" spans="1:2">
      <c r="A1921"/>
      <c r="B1921"/>
    </row>
    <row r="1922" spans="1:2">
      <c r="A1922"/>
      <c r="B1922"/>
    </row>
    <row r="1923" spans="1:2">
      <c r="A1923"/>
      <c r="B1923"/>
    </row>
    <row r="1924" spans="1:2">
      <c r="A1924"/>
      <c r="B1924"/>
    </row>
    <row r="1925" spans="1:2">
      <c r="A1925"/>
      <c r="B1925"/>
    </row>
    <row r="1926" spans="1:2">
      <c r="A1926"/>
      <c r="B1926"/>
    </row>
    <row r="1927" spans="1:2">
      <c r="A1927"/>
      <c r="B1927"/>
    </row>
    <row r="1928" spans="1:2">
      <c r="A1928"/>
      <c r="B1928"/>
    </row>
    <row r="1929" spans="1:2">
      <c r="A1929"/>
      <c r="B1929"/>
    </row>
    <row r="1930" spans="1:2">
      <c r="A1930"/>
      <c r="B1930"/>
    </row>
    <row r="1931" spans="1:2">
      <c r="A1931"/>
      <c r="B1931"/>
    </row>
    <row r="1932" spans="1:2">
      <c r="A1932"/>
      <c r="B1932"/>
    </row>
    <row r="1933" spans="1:2">
      <c r="A1933"/>
      <c r="B1933"/>
    </row>
    <row r="1934" spans="1:2">
      <c r="A1934"/>
      <c r="B1934"/>
    </row>
    <row r="1935" spans="1:2">
      <c r="A1935"/>
      <c r="B1935"/>
    </row>
    <row r="1936" spans="1:2">
      <c r="A1936"/>
      <c r="B1936"/>
    </row>
    <row r="1937" spans="1:2">
      <c r="A1937"/>
      <c r="B1937"/>
    </row>
    <row r="1938" spans="1:2">
      <c r="A1938"/>
      <c r="B1938"/>
    </row>
    <row r="1939" spans="1:2">
      <c r="A1939"/>
      <c r="B1939"/>
    </row>
    <row r="1940" spans="1:2">
      <c r="A1940"/>
      <c r="B1940"/>
    </row>
    <row r="1941" spans="1:2">
      <c r="A1941"/>
      <c r="B1941"/>
    </row>
    <row r="1942" spans="1:2">
      <c r="A1942"/>
      <c r="B1942"/>
    </row>
    <row r="1943" spans="1:2">
      <c r="A1943"/>
      <c r="B1943"/>
    </row>
    <row r="1944" spans="1:2">
      <c r="A1944"/>
      <c r="B1944"/>
    </row>
    <row r="1945" spans="1:2">
      <c r="A1945"/>
      <c r="B1945"/>
    </row>
    <row r="1946" spans="1:2">
      <c r="A1946"/>
      <c r="B1946"/>
    </row>
    <row r="1947" spans="1:2">
      <c r="A1947"/>
      <c r="B1947"/>
    </row>
    <row r="1948" spans="1:2">
      <c r="A1948"/>
      <c r="B1948"/>
    </row>
    <row r="1949" spans="1:2">
      <c r="A1949"/>
      <c r="B1949"/>
    </row>
    <row r="1950" spans="1:2">
      <c r="A1950"/>
      <c r="B1950"/>
    </row>
    <row r="1951" spans="1:2">
      <c r="A1951"/>
      <c r="B1951"/>
    </row>
    <row r="1952" spans="1:2">
      <c r="A1952"/>
      <c r="B1952"/>
    </row>
    <row r="1953" spans="1:2">
      <c r="A1953"/>
      <c r="B1953"/>
    </row>
    <row r="1954" spans="1:2">
      <c r="A1954"/>
      <c r="B1954"/>
    </row>
    <row r="1955" spans="1:2">
      <c r="A1955"/>
      <c r="B1955"/>
    </row>
    <row r="1956" spans="1:2">
      <c r="A1956"/>
      <c r="B1956"/>
    </row>
    <row r="1957" spans="1:2">
      <c r="A1957"/>
      <c r="B1957"/>
    </row>
    <row r="1958" spans="1:2">
      <c r="A1958"/>
      <c r="B1958"/>
    </row>
    <row r="1959" spans="1:2">
      <c r="A1959"/>
      <c r="B1959"/>
    </row>
    <row r="1960" spans="1:2">
      <c r="A1960"/>
      <c r="B1960"/>
    </row>
    <row r="1961" spans="1:2">
      <c r="A1961"/>
      <c r="B1961"/>
    </row>
    <row r="1962" spans="1:2">
      <c r="A1962"/>
      <c r="B1962"/>
    </row>
    <row r="1963" spans="1:2">
      <c r="A1963"/>
      <c r="B1963"/>
    </row>
    <row r="1964" spans="1:2">
      <c r="A1964"/>
      <c r="B1964"/>
    </row>
    <row r="1965" spans="1:2">
      <c r="A1965"/>
      <c r="B1965"/>
    </row>
    <row r="1966" spans="1:2">
      <c r="A1966"/>
      <c r="B1966"/>
    </row>
    <row r="1967" spans="1:2">
      <c r="A1967"/>
      <c r="B1967"/>
    </row>
    <row r="1968" spans="1:2">
      <c r="A1968"/>
      <c r="B1968"/>
    </row>
    <row r="1969" spans="1:2">
      <c r="A1969"/>
      <c r="B1969"/>
    </row>
    <row r="1970" spans="1:2">
      <c r="A1970"/>
      <c r="B1970"/>
    </row>
    <row r="1971" spans="1:2">
      <c r="A1971"/>
      <c r="B1971"/>
    </row>
    <row r="1972" spans="1:2">
      <c r="A1972"/>
      <c r="B1972"/>
    </row>
    <row r="1973" spans="1:2">
      <c r="A1973"/>
      <c r="B1973"/>
    </row>
  </sheetData>
  <hyperlinks>
    <hyperlink ref="C2" r:id="rId1"/>
    <hyperlink ref="A3" r:id="rId2"/>
    <hyperlink ref="A4" r:id="rId3"/>
    <hyperlink ref="A5" r:id="rId4"/>
    <hyperlink ref="A6" r:id="rId5"/>
    <hyperlink ref="A7" r:id="rId6"/>
  </hyperlinks>
  <pageMargins left="0.7" right="0.7" top="0.75" bottom="0.75" header="0.3" footer="0.3"/>
  <pageSetup paperSize="9" orientation="portrait"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6145" r:id="rId10" name="Button 1">
              <controlPr defaultSize="0" print="0" autoFill="0" autoPict="0" macro="[0]!TestavimasMacro1">
                <anchor>
                  <from>
                    <xdr:col>0</xdr:col>
                    <xdr:colOff>2486025</xdr:colOff>
                    <xdr:row>0</xdr:row>
                    <xdr:rowOff>76200</xdr:rowOff>
                  </from>
                  <to>
                    <xdr:col>0</xdr:col>
                    <xdr:colOff>3562350</xdr:colOff>
                    <xdr:row>0</xdr:row>
                    <xdr:rowOff>619125</xdr:rowOff>
                  </to>
                </anchor>
              </controlPr>
            </control>
          </mc:Choice>
        </mc:AlternateContent>
      </controls>
    </mc:Choice>
  </mc:AlternateContent>
  <tableParts count="1">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pas5"/>
  <dimension ref="A1:B3"/>
  <sheetViews>
    <sheetView workbookViewId="0">
      <pane ySplit="1" topLeftCell="A2" activePane="bottomLeft" state="frozen"/>
      <selection pane="bottomLeft" activeCell="A20" sqref="A20:B20"/>
    </sheetView>
  </sheetViews>
  <sheetFormatPr defaultRowHeight="15"/>
  <cols>
    <col min="1" max="1" width="22.42578125" customWidth="1"/>
    <col min="2" max="2" width="17" bestFit="1" customWidth="1"/>
  </cols>
  <sheetData>
    <row r="1" spans="1:2">
      <c r="A1" s="82" t="s">
        <v>739</v>
      </c>
      <c r="B1" t="s">
        <v>741</v>
      </c>
    </row>
    <row r="2" spans="1:2">
      <c r="A2" s="62" t="s">
        <v>766</v>
      </c>
      <c r="B2" s="83">
        <v>9</v>
      </c>
    </row>
    <row r="3" spans="1:2">
      <c r="A3" s="62" t="s">
        <v>740</v>
      </c>
      <c r="B3" s="83">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2"/>
  <dimension ref="A1:N13"/>
  <sheetViews>
    <sheetView zoomScale="85" zoomScaleNormal="85" workbookViewId="0">
      <pane ySplit="4" topLeftCell="A5" activePane="bottomLeft" state="frozen"/>
      <selection pane="bottomLeft" activeCell="A2" sqref="A2"/>
    </sheetView>
  </sheetViews>
  <sheetFormatPr defaultRowHeight="15"/>
  <cols>
    <col min="1" max="1" width="25.28515625" customWidth="1"/>
    <col min="2" max="2" width="7.28515625" customWidth="1"/>
    <col min="3" max="3" width="28.140625" customWidth="1"/>
    <col min="4" max="4" width="70.42578125" customWidth="1"/>
    <col min="5" max="5" width="7.7109375" customWidth="1"/>
    <col min="6" max="8" width="30.42578125" customWidth="1"/>
    <col min="9" max="14" width="10.140625" customWidth="1"/>
  </cols>
  <sheetData>
    <row r="1" spans="1:14" ht="171.75" customHeight="1">
      <c r="A1" s="11" t="s">
        <v>692</v>
      </c>
      <c r="B1" s="4"/>
      <c r="C1" s="71" t="s">
        <v>688</v>
      </c>
    </row>
    <row r="2" spans="1:14" ht="15.75" thickBot="1">
      <c r="A2" s="71" t="s">
        <v>755</v>
      </c>
      <c r="B2" s="4"/>
      <c r="C2" s="80" t="s">
        <v>695</v>
      </c>
    </row>
    <row r="3" spans="1:14" ht="15.75" thickTop="1">
      <c r="A3" s="89">
        <f>SUBTOTAL(103,Lentelė2[Dydis (baitais)])</f>
        <v>9</v>
      </c>
      <c r="B3" s="79">
        <f>SUM(Lentelė2[Dydis GB])</f>
        <v>4.1192909702658653E-3</v>
      </c>
      <c r="C3" s="71" t="s">
        <v>717</v>
      </c>
      <c r="F3">
        <f>ERROR.TYPE(#N/A)</f>
        <v>7</v>
      </c>
    </row>
    <row r="4" spans="1:14">
      <c r="A4" t="s">
        <v>720</v>
      </c>
      <c r="B4" t="s">
        <v>719</v>
      </c>
      <c r="C4" t="s">
        <v>718</v>
      </c>
      <c r="D4" t="s">
        <v>744</v>
      </c>
      <c r="E4" t="s">
        <v>751</v>
      </c>
      <c r="F4" t="s">
        <v>752</v>
      </c>
      <c r="G4" t="s">
        <v>753</v>
      </c>
      <c r="H4" t="s">
        <v>754</v>
      </c>
      <c r="I4" t="s">
        <v>748</v>
      </c>
      <c r="J4" t="s">
        <v>745</v>
      </c>
      <c r="K4" t="s">
        <v>746</v>
      </c>
      <c r="L4" t="s">
        <v>747</v>
      </c>
      <c r="M4" t="s">
        <v>749</v>
      </c>
      <c r="N4" t="s">
        <v>750</v>
      </c>
    </row>
    <row r="5" spans="1:14">
      <c r="A5" s="72">
        <v>2102253</v>
      </c>
      <c r="B5" s="73">
        <f>Lentelė2[[#This Row],[Dydis (baitais)]]/1024^3</f>
        <v>1.9578756764531136E-3</v>
      </c>
      <c r="C5" t="s">
        <v>756</v>
      </c>
      <c r="D5" s="11" t="s">
        <v>757</v>
      </c>
      <c r="E5" s="25" t="str">
        <f>IF(ISERROR(SEARCH("\",Lentelė2[[#This Row],[Path1]])),Lentelė2[[#This Row],[Path1]],
LEFT(Lentelė2[[#This Row],[Path1]],LEN(Lentelė2[[#This Row],[Path1]])-LEN(Lentelė2[[#This Row],[Path2]])-1))</f>
        <v>2 FOTO</v>
      </c>
      <c r="F5" s="86" t="str">
        <f>IF(ISERROR(SEARCH("\",Lentelė2[[#This Row],[Path2]])),Lentelė2[[#This Row],[Path2]],
LEFT(Lentelė2[[#This Row],[Path2]],LEN(Lentelė2[[#This Row],[Path2]])-LEN(Lentelė2[[#This Row],[Path3]])-1))</f>
        <v>1974 Mariaus vaikystė</v>
      </c>
      <c r="G5" s="87" t="str">
        <f>IF(ISERROR(SEARCH("\",Lentelė2[[#This Row],[Path3]])),Lentelė2[[#This Row],[Path3]],
LEFT(Lentelė2[[#This Row],[Path3]],LEN(Lentelė2[[#This Row],[Path3]])-LEN(Lentelė2[[#This Row],[Path4]])-1))</f>
        <v/>
      </c>
      <c r="H5" s="25" t="str">
        <f>IF(ISERROR(SEARCH("\",Lentelė2[[#This Row],[Path4]])),Lentelė2[[#This Row],[Path4]],
LEFT(Lentelė2[[#This Row],[Path4]],LEN(Lentelė2[[#This Row],[Path4]])-LEN(Lentelė2[[#This Row],[Path5]])-1))</f>
        <v/>
      </c>
      <c r="I5" s="2" t="str">
        <f>Lentelė2[[#This Row],[Katalogas bendras]]</f>
        <v>E:\2 FOTO\1974 Mariaus vaikystė</v>
      </c>
      <c r="J5" s="84" t="str">
        <f>IF(ISERROR(SEARCH("\",Lentelė2[[#This Row],[Path0]])),"",RIGHT(Lentelė2[[#This Row],[Path0]],LEN(Lentelė2[[#This Row],[Path0]])-SEARCH("\",Lentelė2[[#This Row],[Path0]])))</f>
        <v>2 FOTO\1974 Mariaus vaikystė</v>
      </c>
      <c r="K5" s="85" t="str">
        <f>IF(ISERROR(SEARCH("\",Lentelė2[[#This Row],[Path1]])),"",RIGHT(Lentelė2[[#This Row],[Path1]],LEN(Lentelė2[[#This Row],[Path1]])-SEARCH("\",Lentelė2[[#This Row],[Path1]])))</f>
        <v>1974 Mariaus vaikystė</v>
      </c>
      <c r="L5" s="88" t="str">
        <f>IF(ISERROR(SEARCH("\",Lentelė2[[#This Row],[Path2]])),"",RIGHT(Lentelė2[[#This Row],[Path2]],LEN(Lentelė2[[#This Row],[Path2]])-SEARCH("\",Lentelė2[[#This Row],[Path2]])))</f>
        <v/>
      </c>
      <c r="M5" s="2" t="str">
        <f>IF(ISERROR(SEARCH("\",Lentelė2[[#This Row],[Path3]])),"",RIGHT(Lentelė2[[#This Row],[Path3]],LEN(Lentelė2[[#This Row],[Path3]])-SEARCH("\",Lentelė2[[#This Row],[Path3]])))</f>
        <v/>
      </c>
      <c r="N5" s="2" t="str">
        <f>IF(ISERROR(SEARCH("\",Lentelė2[[#This Row],[Path4]])),"",RIGHT(Lentelė2[[#This Row],[Path4]],LEN(Lentelė2[[#This Row],[Path4]])-SEARCH("\",Lentelė2[[#This Row],[Path4]])))</f>
        <v/>
      </c>
    </row>
    <row r="6" spans="1:14">
      <c r="A6" s="72">
        <v>687101</v>
      </c>
      <c r="B6" s="73">
        <f>Lentelė2[[#This Row],[Dydis (baitais)]]/1024^3</f>
        <v>6.399126723408699E-4</v>
      </c>
      <c r="C6" t="s">
        <v>758</v>
      </c>
      <c r="D6" s="11" t="s">
        <v>757</v>
      </c>
      <c r="E6" s="25" t="str">
        <f>IF(ISERROR(SEARCH("\",Lentelė2[[#This Row],[Path1]])),Lentelė2[[#This Row],[Path1]],
LEFT(Lentelė2[[#This Row],[Path1]],LEN(Lentelė2[[#This Row],[Path1]])-LEN(Lentelė2[[#This Row],[Path2]])-1))</f>
        <v>2 FOTO</v>
      </c>
      <c r="F6" s="86" t="str">
        <f>IF(ISERROR(SEARCH("\",Lentelė2[[#This Row],[Path2]])),Lentelė2[[#This Row],[Path2]],
LEFT(Lentelė2[[#This Row],[Path2]],LEN(Lentelė2[[#This Row],[Path2]])-LEN(Lentelė2[[#This Row],[Path3]])-1))</f>
        <v>1974 Mariaus vaikystė</v>
      </c>
      <c r="G6" s="87" t="str">
        <f>IF(ISERROR(SEARCH("\",Lentelė2[[#This Row],[Path3]])),Lentelė2[[#This Row],[Path3]],
LEFT(Lentelė2[[#This Row],[Path3]],LEN(Lentelė2[[#This Row],[Path3]])-LEN(Lentelė2[[#This Row],[Path4]])-1))</f>
        <v/>
      </c>
      <c r="H6" s="25" t="str">
        <f>IF(ISERROR(SEARCH("\",Lentelė2[[#This Row],[Path4]])),Lentelė2[[#This Row],[Path4]],
LEFT(Lentelė2[[#This Row],[Path4]],LEN(Lentelė2[[#This Row],[Path4]])-LEN(Lentelė2[[#This Row],[Path5]])-1))</f>
        <v/>
      </c>
      <c r="I6" s="2" t="str">
        <f>Lentelė2[[#This Row],[Katalogas bendras]]</f>
        <v>E:\2 FOTO\1974 Mariaus vaikystė</v>
      </c>
      <c r="J6" s="84" t="str">
        <f>IF(ISERROR(SEARCH("\",Lentelė2[[#This Row],[Path0]])),"",RIGHT(Lentelė2[[#This Row],[Path0]],LEN(Lentelė2[[#This Row],[Path0]])-SEARCH("\",Lentelė2[[#This Row],[Path0]])))</f>
        <v>2 FOTO\1974 Mariaus vaikystė</v>
      </c>
      <c r="K6" s="85" t="str">
        <f>IF(ISERROR(SEARCH("\",Lentelė2[[#This Row],[Path1]])),"",RIGHT(Lentelė2[[#This Row],[Path1]],LEN(Lentelė2[[#This Row],[Path1]])-SEARCH("\",Lentelė2[[#This Row],[Path1]])))</f>
        <v>1974 Mariaus vaikystė</v>
      </c>
      <c r="L6" s="88" t="str">
        <f>IF(ISERROR(SEARCH("\",Lentelė2[[#This Row],[Path2]])),"",RIGHT(Lentelė2[[#This Row],[Path2]],LEN(Lentelė2[[#This Row],[Path2]])-SEARCH("\",Lentelė2[[#This Row],[Path2]])))</f>
        <v/>
      </c>
      <c r="M6" s="2" t="str">
        <f>IF(ISERROR(SEARCH("\",Lentelė2[[#This Row],[Path3]])),"",RIGHT(Lentelė2[[#This Row],[Path3]],LEN(Lentelė2[[#This Row],[Path3]])-SEARCH("\",Lentelė2[[#This Row],[Path3]])))</f>
        <v/>
      </c>
      <c r="N6" s="2" t="str">
        <f>IF(ISERROR(SEARCH("\",Lentelė2[[#This Row],[Path4]])),"",RIGHT(Lentelė2[[#This Row],[Path4]],LEN(Lentelė2[[#This Row],[Path4]])-SEARCH("\",Lentelė2[[#This Row],[Path4]])))</f>
        <v/>
      </c>
    </row>
    <row r="7" spans="1:14">
      <c r="A7" s="72">
        <v>662864</v>
      </c>
      <c r="B7" s="73">
        <f>Lentelė2[[#This Row],[Dydis (baitais)]]/1024^3</f>
        <v>6.1734020709991455E-4</v>
      </c>
      <c r="C7" t="s">
        <v>759</v>
      </c>
      <c r="D7" s="11" t="s">
        <v>757</v>
      </c>
      <c r="E7" s="25" t="str">
        <f>IF(ISERROR(SEARCH("\",Lentelė2[[#This Row],[Path1]])),Lentelė2[[#This Row],[Path1]],
LEFT(Lentelė2[[#This Row],[Path1]],LEN(Lentelė2[[#This Row],[Path1]])-LEN(Lentelė2[[#This Row],[Path2]])-1))</f>
        <v>2 FOTO</v>
      </c>
      <c r="F7" s="86" t="str">
        <f>IF(ISERROR(SEARCH("\",Lentelė2[[#This Row],[Path2]])),Lentelė2[[#This Row],[Path2]],
LEFT(Lentelė2[[#This Row],[Path2]],LEN(Lentelė2[[#This Row],[Path2]])-LEN(Lentelė2[[#This Row],[Path3]])-1))</f>
        <v>1974 Mariaus vaikystė</v>
      </c>
      <c r="G7" s="87" t="str">
        <f>IF(ISERROR(SEARCH("\",Lentelė2[[#This Row],[Path3]])),Lentelė2[[#This Row],[Path3]],
LEFT(Lentelė2[[#This Row],[Path3]],LEN(Lentelė2[[#This Row],[Path3]])-LEN(Lentelė2[[#This Row],[Path4]])-1))</f>
        <v/>
      </c>
      <c r="H7" s="25" t="str">
        <f>IF(ISERROR(SEARCH("\",Lentelė2[[#This Row],[Path4]])),Lentelė2[[#This Row],[Path4]],
LEFT(Lentelė2[[#This Row],[Path4]],LEN(Lentelė2[[#This Row],[Path4]])-LEN(Lentelė2[[#This Row],[Path5]])-1))</f>
        <v/>
      </c>
      <c r="I7" s="2" t="str">
        <f>Lentelė2[[#This Row],[Katalogas bendras]]</f>
        <v>E:\2 FOTO\1974 Mariaus vaikystė</v>
      </c>
      <c r="J7" s="84" t="str">
        <f>IF(ISERROR(SEARCH("\",Lentelė2[[#This Row],[Path0]])),"",RIGHT(Lentelė2[[#This Row],[Path0]],LEN(Lentelė2[[#This Row],[Path0]])-SEARCH("\",Lentelė2[[#This Row],[Path0]])))</f>
        <v>2 FOTO\1974 Mariaus vaikystė</v>
      </c>
      <c r="K7" s="85" t="str">
        <f>IF(ISERROR(SEARCH("\",Lentelė2[[#This Row],[Path1]])),"",RIGHT(Lentelė2[[#This Row],[Path1]],LEN(Lentelė2[[#This Row],[Path1]])-SEARCH("\",Lentelė2[[#This Row],[Path1]])))</f>
        <v>1974 Mariaus vaikystė</v>
      </c>
      <c r="L7" s="88" t="str">
        <f>IF(ISERROR(SEARCH("\",Lentelė2[[#This Row],[Path2]])),"",RIGHT(Lentelė2[[#This Row],[Path2]],LEN(Lentelė2[[#This Row],[Path2]])-SEARCH("\",Lentelė2[[#This Row],[Path2]])))</f>
        <v/>
      </c>
      <c r="M7" s="2" t="str">
        <f>IF(ISERROR(SEARCH("\",Lentelė2[[#This Row],[Path3]])),"",RIGHT(Lentelė2[[#This Row],[Path3]],LEN(Lentelė2[[#This Row],[Path3]])-SEARCH("\",Lentelė2[[#This Row],[Path3]])))</f>
        <v/>
      </c>
      <c r="N7" s="2" t="str">
        <f>IF(ISERROR(SEARCH("\",Lentelė2[[#This Row],[Path4]])),"",RIGHT(Lentelė2[[#This Row],[Path4]],LEN(Lentelė2[[#This Row],[Path4]])-SEARCH("\",Lentelė2[[#This Row],[Path4]])))</f>
        <v/>
      </c>
    </row>
    <row r="8" spans="1:14">
      <c r="A8" s="72">
        <v>65536</v>
      </c>
      <c r="B8" s="73">
        <f>Lentelė2[[#This Row],[Dydis (baitais)]]/1024^3</f>
        <v>6.103515625E-5</v>
      </c>
      <c r="C8" t="s">
        <v>743</v>
      </c>
      <c r="D8" s="11" t="s">
        <v>757</v>
      </c>
      <c r="E8" s="25" t="str">
        <f>IF(ISERROR(SEARCH("\",Lentelė2[[#This Row],[Path1]])),Lentelė2[[#This Row],[Path1]],
LEFT(Lentelė2[[#This Row],[Path1]],LEN(Lentelė2[[#This Row],[Path1]])-LEN(Lentelė2[[#This Row],[Path2]])-1))</f>
        <v>2 FOTO</v>
      </c>
      <c r="F8" s="86" t="str">
        <f>IF(ISERROR(SEARCH("\",Lentelė2[[#This Row],[Path2]])),Lentelė2[[#This Row],[Path2]],
LEFT(Lentelė2[[#This Row],[Path2]],LEN(Lentelė2[[#This Row],[Path2]])-LEN(Lentelė2[[#This Row],[Path3]])-1))</f>
        <v>1974 Mariaus vaikystė</v>
      </c>
      <c r="G8" s="87" t="str">
        <f>IF(ISERROR(SEARCH("\",Lentelė2[[#This Row],[Path3]])),Lentelė2[[#This Row],[Path3]],
LEFT(Lentelė2[[#This Row],[Path3]],LEN(Lentelė2[[#This Row],[Path3]])-LEN(Lentelė2[[#This Row],[Path4]])-1))</f>
        <v/>
      </c>
      <c r="H8" s="25" t="str">
        <f>IF(ISERROR(SEARCH("\",Lentelė2[[#This Row],[Path4]])),Lentelė2[[#This Row],[Path4]],
LEFT(Lentelė2[[#This Row],[Path4]],LEN(Lentelė2[[#This Row],[Path4]])-LEN(Lentelė2[[#This Row],[Path5]])-1))</f>
        <v/>
      </c>
      <c r="I8" s="2" t="str">
        <f>Lentelė2[[#This Row],[Katalogas bendras]]</f>
        <v>E:\2 FOTO\1974 Mariaus vaikystė</v>
      </c>
      <c r="J8" s="84" t="str">
        <f>IF(ISERROR(SEARCH("\",Lentelė2[[#This Row],[Path0]])),"",RIGHT(Lentelė2[[#This Row],[Path0]],LEN(Lentelė2[[#This Row],[Path0]])-SEARCH("\",Lentelė2[[#This Row],[Path0]])))</f>
        <v>2 FOTO\1974 Mariaus vaikystė</v>
      </c>
      <c r="K8" s="85" t="str">
        <f>IF(ISERROR(SEARCH("\",Lentelė2[[#This Row],[Path1]])),"",RIGHT(Lentelė2[[#This Row],[Path1]],LEN(Lentelė2[[#This Row],[Path1]])-SEARCH("\",Lentelė2[[#This Row],[Path1]])))</f>
        <v>1974 Mariaus vaikystė</v>
      </c>
      <c r="L8" s="88" t="str">
        <f>IF(ISERROR(SEARCH("\",Lentelė2[[#This Row],[Path2]])),"",RIGHT(Lentelė2[[#This Row],[Path2]],LEN(Lentelė2[[#This Row],[Path2]])-SEARCH("\",Lentelė2[[#This Row],[Path2]])))</f>
        <v/>
      </c>
      <c r="M8" s="2" t="str">
        <f>IF(ISERROR(SEARCH("\",Lentelė2[[#This Row],[Path3]])),"",RIGHT(Lentelė2[[#This Row],[Path3]],LEN(Lentelė2[[#This Row],[Path3]])-SEARCH("\",Lentelė2[[#This Row],[Path3]])))</f>
        <v/>
      </c>
      <c r="N8" s="2" t="str">
        <f>IF(ISERROR(SEARCH("\",Lentelė2[[#This Row],[Path4]])),"",RIGHT(Lentelė2[[#This Row],[Path4]],LEN(Lentelė2[[#This Row],[Path4]])-SEARCH("\",Lentelė2[[#This Row],[Path4]])))</f>
        <v/>
      </c>
    </row>
    <row r="9" spans="1:14">
      <c r="A9" s="72">
        <v>215351</v>
      </c>
      <c r="B9" s="73">
        <f>Lentelė2[[#This Row],[Dydis (baitais)]]/1024^3</f>
        <v>2.0056124776601791E-4</v>
      </c>
      <c r="C9" t="s">
        <v>760</v>
      </c>
      <c r="D9" s="11" t="s">
        <v>761</v>
      </c>
      <c r="E9" s="25" t="str">
        <f>IF(ISERROR(SEARCH("\",Lentelė2[[#This Row],[Path1]])),Lentelė2[[#This Row],[Path1]],
LEFT(Lentelė2[[#This Row],[Path1]],LEN(Lentelė2[[#This Row],[Path1]])-LEN(Lentelė2[[#This Row],[Path2]])-1))</f>
        <v>2 FOTO</v>
      </c>
      <c r="F9" s="86" t="str">
        <f>IF(ISERROR(SEARCH("\",Lentelė2[[#This Row],[Path2]])),Lentelė2[[#This Row],[Path2]],
LEFT(Lentelė2[[#This Row],[Path2]],LEN(Lentelė2[[#This Row],[Path2]])-LEN(Lentelė2[[#This Row],[Path3]])-1))</f>
        <v>1974 Mariaus vaikystė</v>
      </c>
      <c r="G9" s="87" t="str">
        <f>IF(ISERROR(SEARCH("\",Lentelė2[[#This Row],[Path3]])),Lentelė2[[#This Row],[Path3]],
LEFT(Lentelė2[[#This Row],[Path3]],LEN(Lentelė2[[#This Row],[Path3]])-LEN(Lentelė2[[#This Row],[Path4]])-1))</f>
        <v>1948-1975 Genos</v>
      </c>
      <c r="H9" s="25" t="str">
        <f>IF(ISERROR(SEARCH("\",Lentelė2[[#This Row],[Path4]])),Lentelė2[[#This Row],[Path4]],
LEFT(Lentelė2[[#This Row],[Path4]],LEN(Lentelė2[[#This Row],[Path4]])-LEN(Lentelė2[[#This Row],[Path5]])-1))</f>
        <v/>
      </c>
      <c r="I9" s="2" t="str">
        <f>Lentelė2[[#This Row],[Katalogas bendras]]</f>
        <v>E:\2 FOTO\1974 Mariaus vaikystė\1948-1975 Genos</v>
      </c>
      <c r="J9" s="84" t="str">
        <f>IF(ISERROR(SEARCH("\",Lentelė2[[#This Row],[Path0]])),"",RIGHT(Lentelė2[[#This Row],[Path0]],LEN(Lentelė2[[#This Row],[Path0]])-SEARCH("\",Lentelė2[[#This Row],[Path0]])))</f>
        <v>2 FOTO\1974 Mariaus vaikystė\1948-1975 Genos</v>
      </c>
      <c r="K9" s="85" t="str">
        <f>IF(ISERROR(SEARCH("\",Lentelė2[[#This Row],[Path1]])),"",RIGHT(Lentelė2[[#This Row],[Path1]],LEN(Lentelė2[[#This Row],[Path1]])-SEARCH("\",Lentelė2[[#This Row],[Path1]])))</f>
        <v>1974 Mariaus vaikystė\1948-1975 Genos</v>
      </c>
      <c r="L9" s="88" t="str">
        <f>IF(ISERROR(SEARCH("\",Lentelė2[[#This Row],[Path2]])),"",RIGHT(Lentelė2[[#This Row],[Path2]],LEN(Lentelė2[[#This Row],[Path2]])-SEARCH("\",Lentelė2[[#This Row],[Path2]])))</f>
        <v>1948-1975 Genos</v>
      </c>
      <c r="M9" s="2" t="str">
        <f>IF(ISERROR(SEARCH("\",Lentelė2[[#This Row],[Path3]])),"",RIGHT(Lentelė2[[#This Row],[Path3]],LEN(Lentelė2[[#This Row],[Path3]])-SEARCH("\",Lentelė2[[#This Row],[Path3]])))</f>
        <v/>
      </c>
      <c r="N9" s="2" t="str">
        <f>IF(ISERROR(SEARCH("\",Lentelė2[[#This Row],[Path4]])),"",RIGHT(Lentelė2[[#This Row],[Path4]],LEN(Lentelė2[[#This Row],[Path4]])-SEARCH("\",Lentelė2[[#This Row],[Path4]])))</f>
        <v/>
      </c>
    </row>
    <row r="10" spans="1:14">
      <c r="A10" s="72">
        <v>12808</v>
      </c>
      <c r="B10" s="73">
        <f>Lentelė2[[#This Row],[Dydis (baitais)]]/1024^3</f>
        <v>1.1928379535675049E-5</v>
      </c>
      <c r="C10" t="s">
        <v>762</v>
      </c>
      <c r="D10" s="11" t="s">
        <v>761</v>
      </c>
      <c r="E10" s="25" t="str">
        <f>IF(ISERROR(SEARCH("\",Lentelė2[[#This Row],[Path1]])),Lentelė2[[#This Row],[Path1]],
LEFT(Lentelė2[[#This Row],[Path1]],LEN(Lentelė2[[#This Row],[Path1]])-LEN(Lentelė2[[#This Row],[Path2]])-1))</f>
        <v>2 FOTO</v>
      </c>
      <c r="F10" s="86" t="str">
        <f>IF(ISERROR(SEARCH("\",Lentelė2[[#This Row],[Path2]])),Lentelė2[[#This Row],[Path2]],
LEFT(Lentelė2[[#This Row],[Path2]],LEN(Lentelė2[[#This Row],[Path2]])-LEN(Lentelė2[[#This Row],[Path3]])-1))</f>
        <v>1974 Mariaus vaikystė</v>
      </c>
      <c r="G10" s="87" t="str">
        <f>IF(ISERROR(SEARCH("\",Lentelė2[[#This Row],[Path3]])),Lentelė2[[#This Row],[Path3]],
LEFT(Lentelė2[[#This Row],[Path3]],LEN(Lentelė2[[#This Row],[Path3]])-LEN(Lentelė2[[#This Row],[Path4]])-1))</f>
        <v>1948-1975 Genos</v>
      </c>
      <c r="H10" s="25" t="str">
        <f>IF(ISERROR(SEARCH("\",Lentelė2[[#This Row],[Path4]])),Lentelė2[[#This Row],[Path4]],
LEFT(Lentelė2[[#This Row],[Path4]],LEN(Lentelė2[[#This Row],[Path4]])-LEN(Lentelė2[[#This Row],[Path5]])-1))</f>
        <v/>
      </c>
      <c r="I10" s="2" t="str">
        <f>Lentelė2[[#This Row],[Katalogas bendras]]</f>
        <v>E:\2 FOTO\1974 Mariaus vaikystė\1948-1975 Genos</v>
      </c>
      <c r="J10" s="84" t="str">
        <f>IF(ISERROR(SEARCH("\",Lentelė2[[#This Row],[Path0]])),"",RIGHT(Lentelė2[[#This Row],[Path0]],LEN(Lentelė2[[#This Row],[Path0]])-SEARCH("\",Lentelė2[[#This Row],[Path0]])))</f>
        <v>2 FOTO\1974 Mariaus vaikystė\1948-1975 Genos</v>
      </c>
      <c r="K10" s="85" t="str">
        <f>IF(ISERROR(SEARCH("\",Lentelė2[[#This Row],[Path1]])),"",RIGHT(Lentelė2[[#This Row],[Path1]],LEN(Lentelė2[[#This Row],[Path1]])-SEARCH("\",Lentelė2[[#This Row],[Path1]])))</f>
        <v>1974 Mariaus vaikystė\1948-1975 Genos</v>
      </c>
      <c r="L10" s="88" t="str">
        <f>IF(ISERROR(SEARCH("\",Lentelė2[[#This Row],[Path2]])),"",RIGHT(Lentelė2[[#This Row],[Path2]],LEN(Lentelė2[[#This Row],[Path2]])-SEARCH("\",Lentelė2[[#This Row],[Path2]])))</f>
        <v>1948-1975 Genos</v>
      </c>
      <c r="M10" s="2" t="str">
        <f>IF(ISERROR(SEARCH("\",Lentelė2[[#This Row],[Path3]])),"",RIGHT(Lentelė2[[#This Row],[Path3]],LEN(Lentelė2[[#This Row],[Path3]])-SEARCH("\",Lentelė2[[#This Row],[Path3]])))</f>
        <v/>
      </c>
      <c r="N10" s="2" t="str">
        <f>IF(ISERROR(SEARCH("\",Lentelė2[[#This Row],[Path4]])),"",RIGHT(Lentelė2[[#This Row],[Path4]],LEN(Lentelė2[[#This Row],[Path4]])-SEARCH("\",Lentelė2[[#This Row],[Path4]])))</f>
        <v/>
      </c>
    </row>
    <row r="11" spans="1:14">
      <c r="A11" s="72">
        <v>255130</v>
      </c>
      <c r="B11" s="73">
        <f>Lentelė2[[#This Row],[Dydis (baitais)]]/1024^3</f>
        <v>2.3760832846164703E-4</v>
      </c>
      <c r="C11" t="s">
        <v>763</v>
      </c>
      <c r="D11" s="11" t="s">
        <v>761</v>
      </c>
      <c r="E11" s="25" t="str">
        <f>IF(ISERROR(SEARCH("\",Lentelė2[[#This Row],[Path1]])),Lentelė2[[#This Row],[Path1]],
LEFT(Lentelė2[[#This Row],[Path1]],LEN(Lentelė2[[#This Row],[Path1]])-LEN(Lentelė2[[#This Row],[Path2]])-1))</f>
        <v>2 FOTO</v>
      </c>
      <c r="F11" s="86" t="str">
        <f>IF(ISERROR(SEARCH("\",Lentelė2[[#This Row],[Path2]])),Lentelė2[[#This Row],[Path2]],
LEFT(Lentelė2[[#This Row],[Path2]],LEN(Lentelė2[[#This Row],[Path2]])-LEN(Lentelė2[[#This Row],[Path3]])-1))</f>
        <v>1974 Mariaus vaikystė</v>
      </c>
      <c r="G11" s="87" t="str">
        <f>IF(ISERROR(SEARCH("\",Lentelė2[[#This Row],[Path3]])),Lentelė2[[#This Row],[Path3]],
LEFT(Lentelė2[[#This Row],[Path3]],LEN(Lentelė2[[#This Row],[Path3]])-LEN(Lentelė2[[#This Row],[Path4]])-1))</f>
        <v>1948-1975 Genos</v>
      </c>
      <c r="H11" s="25" t="str">
        <f>IF(ISERROR(SEARCH("\",Lentelė2[[#This Row],[Path4]])),Lentelė2[[#This Row],[Path4]],
LEFT(Lentelė2[[#This Row],[Path4]],LEN(Lentelė2[[#This Row],[Path4]])-LEN(Lentelė2[[#This Row],[Path5]])-1))</f>
        <v/>
      </c>
      <c r="I11" s="2" t="str">
        <f>Lentelė2[[#This Row],[Katalogas bendras]]</f>
        <v>E:\2 FOTO\1974 Mariaus vaikystė\1948-1975 Genos</v>
      </c>
      <c r="J11" s="84" t="str">
        <f>IF(ISERROR(SEARCH("\",Lentelė2[[#This Row],[Path0]])),"",RIGHT(Lentelė2[[#This Row],[Path0]],LEN(Lentelė2[[#This Row],[Path0]])-SEARCH("\",Lentelė2[[#This Row],[Path0]])))</f>
        <v>2 FOTO\1974 Mariaus vaikystė\1948-1975 Genos</v>
      </c>
      <c r="K11" s="85" t="str">
        <f>IF(ISERROR(SEARCH("\",Lentelė2[[#This Row],[Path1]])),"",RIGHT(Lentelė2[[#This Row],[Path1]],LEN(Lentelė2[[#This Row],[Path1]])-SEARCH("\",Lentelė2[[#This Row],[Path1]])))</f>
        <v>1974 Mariaus vaikystė\1948-1975 Genos</v>
      </c>
      <c r="L11" s="88" t="str">
        <f>IF(ISERROR(SEARCH("\",Lentelė2[[#This Row],[Path2]])),"",RIGHT(Lentelė2[[#This Row],[Path2]],LEN(Lentelė2[[#This Row],[Path2]])-SEARCH("\",Lentelė2[[#This Row],[Path2]])))</f>
        <v>1948-1975 Genos</v>
      </c>
      <c r="M11" s="2" t="str">
        <f>IF(ISERROR(SEARCH("\",Lentelė2[[#This Row],[Path3]])),"",RIGHT(Lentelė2[[#This Row],[Path3]],LEN(Lentelė2[[#This Row],[Path3]])-SEARCH("\",Lentelė2[[#This Row],[Path3]])))</f>
        <v/>
      </c>
      <c r="N11" s="2" t="str">
        <f>IF(ISERROR(SEARCH("\",Lentelė2[[#This Row],[Path4]])),"",RIGHT(Lentelė2[[#This Row],[Path4]],LEN(Lentelė2[[#This Row],[Path4]])-SEARCH("\",Lentelė2[[#This Row],[Path4]])))</f>
        <v/>
      </c>
    </row>
    <row r="12" spans="1:14">
      <c r="A12" s="72">
        <v>250368</v>
      </c>
      <c r="B12" s="73">
        <f>Lentelė2[[#This Row],[Dydis (baitais)]]/1024^3</f>
        <v>2.3317337036132813E-4</v>
      </c>
      <c r="C12" t="s">
        <v>743</v>
      </c>
      <c r="D12" s="11" t="s">
        <v>761</v>
      </c>
      <c r="E12" s="25" t="str">
        <f>IF(ISERROR(SEARCH("\",Lentelė2[[#This Row],[Path1]])),Lentelė2[[#This Row],[Path1]],
LEFT(Lentelė2[[#This Row],[Path1]],LEN(Lentelė2[[#This Row],[Path1]])-LEN(Lentelė2[[#This Row],[Path2]])-1))</f>
        <v>2 FOTO</v>
      </c>
      <c r="F12" s="86" t="str">
        <f>IF(ISERROR(SEARCH("\",Lentelė2[[#This Row],[Path2]])),Lentelė2[[#This Row],[Path2]],
LEFT(Lentelė2[[#This Row],[Path2]],LEN(Lentelė2[[#This Row],[Path2]])-LEN(Lentelė2[[#This Row],[Path3]])-1))</f>
        <v>1974 Mariaus vaikystė</v>
      </c>
      <c r="G12" s="87" t="str">
        <f>IF(ISERROR(SEARCH("\",Lentelė2[[#This Row],[Path3]])),Lentelė2[[#This Row],[Path3]],
LEFT(Lentelė2[[#This Row],[Path3]],LEN(Lentelė2[[#This Row],[Path3]])-LEN(Lentelė2[[#This Row],[Path4]])-1))</f>
        <v>1948-1975 Genos</v>
      </c>
      <c r="H12" s="25" t="str">
        <f>IF(ISERROR(SEARCH("\",Lentelė2[[#This Row],[Path4]])),Lentelė2[[#This Row],[Path4]],
LEFT(Lentelė2[[#This Row],[Path4]],LEN(Lentelė2[[#This Row],[Path4]])-LEN(Lentelė2[[#This Row],[Path5]])-1))</f>
        <v/>
      </c>
      <c r="I12" s="2" t="str">
        <f>Lentelė2[[#This Row],[Katalogas bendras]]</f>
        <v>E:\2 FOTO\1974 Mariaus vaikystė\1948-1975 Genos</v>
      </c>
      <c r="J12" s="84" t="str">
        <f>IF(ISERROR(SEARCH("\",Lentelė2[[#This Row],[Path0]])),"",RIGHT(Lentelė2[[#This Row],[Path0]],LEN(Lentelė2[[#This Row],[Path0]])-SEARCH("\",Lentelė2[[#This Row],[Path0]])))</f>
        <v>2 FOTO\1974 Mariaus vaikystė\1948-1975 Genos</v>
      </c>
      <c r="K12" s="85" t="str">
        <f>IF(ISERROR(SEARCH("\",Lentelė2[[#This Row],[Path1]])),"",RIGHT(Lentelė2[[#This Row],[Path1]],LEN(Lentelė2[[#This Row],[Path1]])-SEARCH("\",Lentelė2[[#This Row],[Path1]])))</f>
        <v>1974 Mariaus vaikystė\1948-1975 Genos</v>
      </c>
      <c r="L12" s="88" t="str">
        <f>IF(ISERROR(SEARCH("\",Lentelė2[[#This Row],[Path2]])),"",RIGHT(Lentelė2[[#This Row],[Path2]],LEN(Lentelė2[[#This Row],[Path2]])-SEARCH("\",Lentelė2[[#This Row],[Path2]])))</f>
        <v>1948-1975 Genos</v>
      </c>
      <c r="M12" s="2" t="str">
        <f>IF(ISERROR(SEARCH("\",Lentelė2[[#This Row],[Path3]])),"",RIGHT(Lentelė2[[#This Row],[Path3]],LEN(Lentelė2[[#This Row],[Path3]])-SEARCH("\",Lentelė2[[#This Row],[Path3]])))</f>
        <v/>
      </c>
      <c r="N12" s="2" t="str">
        <f>IF(ISERROR(SEARCH("\",Lentelė2[[#This Row],[Path4]])),"",RIGHT(Lentelė2[[#This Row],[Path4]],LEN(Lentelė2[[#This Row],[Path4]])-SEARCH("\",Lentelė2[[#This Row],[Path4]])))</f>
        <v/>
      </c>
    </row>
    <row r="13" spans="1:14">
      <c r="A13" s="72">
        <v>171644</v>
      </c>
      <c r="B13" s="73">
        <f>Lentelė2[[#This Row],[Dydis (baitais)]]/1024^3</f>
        <v>1.5985593199729919E-4</v>
      </c>
      <c r="C13" t="s">
        <v>764</v>
      </c>
      <c r="D13" s="11" t="s">
        <v>765</v>
      </c>
      <c r="E13" s="25" t="str">
        <f>IF(ISERROR(SEARCH("\",Lentelė2[[#This Row],[Path1]])),Lentelė2[[#This Row],[Path1]],
LEFT(Lentelė2[[#This Row],[Path1]],LEN(Lentelė2[[#This Row],[Path1]])-LEN(Lentelė2[[#This Row],[Path2]])-1))</f>
        <v>2 FOTO</v>
      </c>
      <c r="F13" s="86" t="str">
        <f>IF(ISERROR(SEARCH("\",Lentelė2[[#This Row],[Path2]])),Lentelė2[[#This Row],[Path2]],
LEFT(Lentelė2[[#This Row],[Path2]],LEN(Lentelė2[[#This Row],[Path2]])-LEN(Lentelė2[[#This Row],[Path3]])-1))</f>
        <v>1974 Mariaus vaikystė</v>
      </c>
      <c r="G13" s="87" t="str">
        <f>IF(ISERROR(SEARCH("\",Lentelė2[[#This Row],[Path3]])),Lentelė2[[#This Row],[Path3]],
LEFT(Lentelė2[[#This Row],[Path3]],LEN(Lentelė2[[#This Row],[Path3]])-LEN(Lentelė2[[#This Row],[Path4]])-1))</f>
        <v>1948-1975 Genos</v>
      </c>
      <c r="H13" s="25" t="str">
        <f>IF(ISERROR(SEARCH("\",Lentelė2[[#This Row],[Path4]])),Lentelė2[[#This Row],[Path4]],
LEFT(Lentelė2[[#This Row],[Path4]],LEN(Lentelė2[[#This Row],[Path4]])-LEN(Lentelė2[[#This Row],[Path5]])-1))</f>
        <v>Armija</v>
      </c>
      <c r="I13" s="2" t="str">
        <f>Lentelė2[[#This Row],[Katalogas bendras]]</f>
        <v>E:\2 FOTO\1974 Mariaus vaikystė\1948-1975 Genos\Armija</v>
      </c>
      <c r="J13" s="84" t="str">
        <f>IF(ISERROR(SEARCH("\",Lentelė2[[#This Row],[Path0]])),"",RIGHT(Lentelė2[[#This Row],[Path0]],LEN(Lentelė2[[#This Row],[Path0]])-SEARCH("\",Lentelė2[[#This Row],[Path0]])))</f>
        <v>2 FOTO\1974 Mariaus vaikystė\1948-1975 Genos\Armija</v>
      </c>
      <c r="K13" s="85" t="str">
        <f>IF(ISERROR(SEARCH("\",Lentelė2[[#This Row],[Path1]])),"",RIGHT(Lentelė2[[#This Row],[Path1]],LEN(Lentelė2[[#This Row],[Path1]])-SEARCH("\",Lentelė2[[#This Row],[Path1]])))</f>
        <v>1974 Mariaus vaikystė\1948-1975 Genos\Armija</v>
      </c>
      <c r="L13" s="88" t="str">
        <f>IF(ISERROR(SEARCH("\",Lentelė2[[#This Row],[Path2]])),"",RIGHT(Lentelė2[[#This Row],[Path2]],LEN(Lentelė2[[#This Row],[Path2]])-SEARCH("\",Lentelė2[[#This Row],[Path2]])))</f>
        <v>1948-1975 Genos\Armija</v>
      </c>
      <c r="M13" s="2" t="str">
        <f>IF(ISERROR(SEARCH("\",Lentelė2[[#This Row],[Path3]])),"",RIGHT(Lentelė2[[#This Row],[Path3]],LEN(Lentelė2[[#This Row],[Path3]])-SEARCH("\",Lentelė2[[#This Row],[Path3]])))</f>
        <v>Armija</v>
      </c>
      <c r="N13" s="2" t="str">
        <f>IF(ISERROR(SEARCH("\",Lentelė2[[#This Row],[Path4]])),"",RIGHT(Lentelė2[[#This Row],[Path4]],LEN(Lentelė2[[#This Row],[Path4]])-SEARCH("\",Lentelė2[[#This Row],[Path4]])))</f>
        <v/>
      </c>
    </row>
  </sheetData>
  <conditionalFormatting sqref="A2">
    <cfRule type="duplicateValues" dxfId="29" priority="1"/>
  </conditionalFormatting>
  <conditionalFormatting sqref="B5:B13">
    <cfRule type="iconSet" priority="8">
      <iconSet iconSet="5Quarters">
        <cfvo type="percent" val="0"/>
        <cfvo type="num" val="1E-3"/>
        <cfvo type="num" val="8.0000000000000002E-3"/>
        <cfvo type="num" val="1.8"/>
        <cfvo type="num" val="3"/>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anoFilmografija">
                <anchor moveWithCells="1" sizeWithCells="1">
                  <from>
                    <xdr:col>0</xdr:col>
                    <xdr:colOff>0</xdr:colOff>
                    <xdr:row>0</xdr:row>
                    <xdr:rowOff>0</xdr:rowOff>
                  </from>
                  <to>
                    <xdr:col>1</xdr:col>
                    <xdr:colOff>0</xdr:colOff>
                    <xdr:row>1</xdr:row>
                    <xdr:rowOff>0</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pas1"/>
  <dimension ref="A1:C7"/>
  <sheetViews>
    <sheetView workbookViewId="0">
      <selection activeCell="A9" sqref="A9"/>
    </sheetView>
  </sheetViews>
  <sheetFormatPr defaultRowHeight="15"/>
  <cols>
    <col min="1" max="1" width="19.5703125" customWidth="1"/>
  </cols>
  <sheetData>
    <row r="1" spans="1:3">
      <c r="A1" t="s">
        <v>674</v>
      </c>
      <c r="B1" s="64" t="s">
        <v>675</v>
      </c>
      <c r="C1" s="64" t="s">
        <v>676</v>
      </c>
    </row>
    <row r="3" spans="1:3">
      <c r="A3" t="s">
        <v>628</v>
      </c>
      <c r="B3" s="64" t="s">
        <v>675</v>
      </c>
      <c r="C3" s="64" t="s">
        <v>676</v>
      </c>
    </row>
    <row r="5" spans="1:3">
      <c r="A5" t="s">
        <v>677</v>
      </c>
      <c r="B5" s="64" t="s">
        <v>676</v>
      </c>
      <c r="C5" s="64" t="s">
        <v>675</v>
      </c>
    </row>
    <row r="7" spans="1:3">
      <c r="A7" t="s">
        <v>716</v>
      </c>
      <c r="B7" s="64" t="s">
        <v>676</v>
      </c>
      <c r="C7" s="64" t="s">
        <v>675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8"/>
  <sheetViews>
    <sheetView workbookViewId="0">
      <pane ySplit="3" topLeftCell="A4" activePane="bottomLeft" state="frozen"/>
      <selection pane="bottomLeft" activeCell="A5" sqref="A5"/>
    </sheetView>
  </sheetViews>
  <sheetFormatPr defaultRowHeight="15"/>
  <cols>
    <col min="1" max="1" width="18.28515625" customWidth="1"/>
    <col min="2" max="2" width="40.28515625" customWidth="1"/>
    <col min="3" max="3" width="30" customWidth="1"/>
  </cols>
  <sheetData>
    <row r="1" spans="1:3" ht="15.75">
      <c r="A1" s="27" t="s">
        <v>640</v>
      </c>
      <c r="B1" s="28"/>
    </row>
    <row r="2" spans="1:3">
      <c r="A2" s="5"/>
      <c r="B2" s="5"/>
    </row>
    <row r="3" spans="1:3">
      <c r="A3" s="29" t="s">
        <v>238</v>
      </c>
      <c r="B3" s="29" t="s">
        <v>239</v>
      </c>
      <c r="C3" s="45" t="s">
        <v>548</v>
      </c>
    </row>
    <row r="4" spans="1:3">
      <c r="A4" s="31"/>
      <c r="B4" s="31"/>
    </row>
    <row r="5" spans="1:3">
      <c r="A5" s="30"/>
      <c r="B5" s="26"/>
    </row>
    <row r="6" spans="1:3">
      <c r="A6" s="30"/>
      <c r="B6" s="5"/>
    </row>
    <row r="7" spans="1:3">
      <c r="A7" s="30"/>
      <c r="B7" s="7"/>
    </row>
    <row r="8" spans="1:3">
      <c r="A8" s="30"/>
      <c r="B8" s="7"/>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zoomScaleNormal="100" workbookViewId="0">
      <pane ySplit="1" topLeftCell="A2" activePane="bottomLeft" state="frozen"/>
      <selection pane="bottomLeft" activeCell="C24" sqref="C24"/>
    </sheetView>
  </sheetViews>
  <sheetFormatPr defaultRowHeight="15"/>
  <cols>
    <col min="1" max="1" width="23.140625" bestFit="1" customWidth="1"/>
    <col min="2" max="2" width="17.28515625" bestFit="1" customWidth="1"/>
    <col min="3" max="3" width="61.28515625" bestFit="1" customWidth="1"/>
  </cols>
  <sheetData>
    <row r="1" spans="1:3">
      <c r="A1" s="1" t="s">
        <v>303</v>
      </c>
      <c r="B1" s="1" t="s">
        <v>304</v>
      </c>
      <c r="C1" s="1" t="s">
        <v>305</v>
      </c>
    </row>
    <row r="2" spans="1:3">
      <c r="A2" s="8" t="s">
        <v>291</v>
      </c>
      <c r="B2" t="s">
        <v>292</v>
      </c>
      <c r="C2" t="s">
        <v>293</v>
      </c>
    </row>
    <row r="3" spans="1:3">
      <c r="A3" s="8" t="s">
        <v>294</v>
      </c>
      <c r="B3" t="s">
        <v>295</v>
      </c>
      <c r="C3" t="s">
        <v>296</v>
      </c>
    </row>
    <row r="4" spans="1:3">
      <c r="A4" s="10" t="s">
        <v>240</v>
      </c>
      <c r="B4" s="11" t="s">
        <v>295</v>
      </c>
      <c r="C4" s="11" t="s">
        <v>306</v>
      </c>
    </row>
    <row r="5" spans="1:3">
      <c r="A5" s="11" t="s">
        <v>256</v>
      </c>
      <c r="B5" s="11"/>
      <c r="C5" s="11"/>
    </row>
    <row r="6" spans="1:3" s="17" customFormat="1">
      <c r="A6" s="16" t="s">
        <v>257</v>
      </c>
      <c r="B6" s="17" t="s">
        <v>301</v>
      </c>
      <c r="C6" s="17" t="s">
        <v>307</v>
      </c>
    </row>
    <row r="7" spans="1:3" s="17" customFormat="1">
      <c r="A7" s="17" t="s">
        <v>258</v>
      </c>
    </row>
    <row r="8" spans="1:3" s="17" customFormat="1">
      <c r="A8" s="16" t="s">
        <v>259</v>
      </c>
      <c r="B8" s="17" t="s">
        <v>301</v>
      </c>
      <c r="C8" s="17" t="s">
        <v>319</v>
      </c>
    </row>
    <row r="9" spans="1:3" s="17" customFormat="1">
      <c r="A9" s="17" t="s">
        <v>260</v>
      </c>
      <c r="C9" s="17" t="s">
        <v>320</v>
      </c>
    </row>
    <row r="10" spans="1:3" s="17" customFormat="1">
      <c r="A10" s="17" t="s">
        <v>261</v>
      </c>
    </row>
    <row r="11" spans="1:3" s="17" customFormat="1">
      <c r="A11" s="17" t="s">
        <v>262</v>
      </c>
    </row>
    <row r="12" spans="1:3">
      <c r="A12" s="10" t="s">
        <v>263</v>
      </c>
      <c r="B12" s="11" t="s">
        <v>298</v>
      </c>
      <c r="C12" s="11" t="s">
        <v>315</v>
      </c>
    </row>
    <row r="13" spans="1:3">
      <c r="A13" s="11" t="s">
        <v>264</v>
      </c>
      <c r="B13" s="11"/>
      <c r="C13" s="11" t="s">
        <v>316</v>
      </c>
    </row>
    <row r="14" spans="1:3">
      <c r="A14" s="11" t="s">
        <v>261</v>
      </c>
      <c r="B14" s="11"/>
      <c r="C14" s="14" t="s">
        <v>317</v>
      </c>
    </row>
    <row r="15" spans="1:3">
      <c r="A15" s="11" t="s">
        <v>265</v>
      </c>
      <c r="B15" s="11"/>
      <c r="C15" s="11" t="s">
        <v>318</v>
      </c>
    </row>
    <row r="16" spans="1:3">
      <c r="A16" s="8" t="s">
        <v>266</v>
      </c>
      <c r="B16" t="s">
        <v>298</v>
      </c>
      <c r="C16" t="s">
        <v>308</v>
      </c>
    </row>
    <row r="17" spans="1:3">
      <c r="A17" t="s">
        <v>267</v>
      </c>
    </row>
    <row r="18" spans="1:3">
      <c r="A18" s="8" t="s">
        <v>268</v>
      </c>
      <c r="B18" t="s">
        <v>309</v>
      </c>
      <c r="C18" t="s">
        <v>310</v>
      </c>
    </row>
    <row r="19" spans="1:3">
      <c r="A19" t="s">
        <v>269</v>
      </c>
      <c r="C19" t="s">
        <v>321</v>
      </c>
    </row>
    <row r="20" spans="1:3">
      <c r="A20" t="s">
        <v>288</v>
      </c>
      <c r="C20" t="s">
        <v>270</v>
      </c>
    </row>
    <row r="21" spans="1:3">
      <c r="A21" t="s">
        <v>289</v>
      </c>
      <c r="C21" t="s">
        <v>271</v>
      </c>
    </row>
    <row r="22" spans="1:3">
      <c r="A22" s="8" t="s">
        <v>297</v>
      </c>
      <c r="B22" t="s">
        <v>298</v>
      </c>
      <c r="C22" t="s">
        <v>299</v>
      </c>
    </row>
    <row r="23" spans="1:3">
      <c r="A23" s="8" t="s">
        <v>300</v>
      </c>
      <c r="B23" t="s">
        <v>301</v>
      </c>
      <c r="C23" t="s">
        <v>302</v>
      </c>
    </row>
    <row r="24" spans="1:3">
      <c r="A24" s="13" t="s">
        <v>200</v>
      </c>
      <c r="B24" s="11" t="s">
        <v>274</v>
      </c>
      <c r="C24" s="11" t="s">
        <v>277</v>
      </c>
    </row>
    <row r="25" spans="1:3">
      <c r="A25" s="12" t="s">
        <v>272</v>
      </c>
      <c r="B25" s="11" t="s">
        <v>275</v>
      </c>
      <c r="C25" s="11"/>
    </row>
    <row r="26" spans="1:3">
      <c r="A26" s="12" t="s">
        <v>273</v>
      </c>
      <c r="B26" s="11" t="s">
        <v>276</v>
      </c>
      <c r="C26" s="11"/>
    </row>
    <row r="27" spans="1:3" s="17" customFormat="1">
      <c r="A27" s="18" t="s">
        <v>200</v>
      </c>
      <c r="B27" s="17" t="s">
        <v>279</v>
      </c>
      <c r="C27" s="17" t="s">
        <v>280</v>
      </c>
    </row>
    <row r="28" spans="1:3" s="17" customFormat="1">
      <c r="A28" s="19" t="s">
        <v>278</v>
      </c>
      <c r="B28" s="17" t="s">
        <v>276</v>
      </c>
    </row>
    <row r="29" spans="1:3" s="17" customFormat="1">
      <c r="A29" s="19" t="s">
        <v>273</v>
      </c>
    </row>
    <row r="30" spans="1:3">
      <c r="A30" s="8" t="s">
        <v>281</v>
      </c>
      <c r="B30" t="s">
        <v>311</v>
      </c>
      <c r="C30" t="s">
        <v>312</v>
      </c>
    </row>
    <row r="31" spans="1:3">
      <c r="A31" s="9" t="s">
        <v>282</v>
      </c>
    </row>
    <row r="32" spans="1:3">
      <c r="A32" s="8" t="s">
        <v>281</v>
      </c>
      <c r="B32" t="s">
        <v>284</v>
      </c>
      <c r="C32" t="s">
        <v>290</v>
      </c>
    </row>
    <row r="33" spans="1:3">
      <c r="A33" s="9" t="s">
        <v>283</v>
      </c>
      <c r="B33" t="s">
        <v>314</v>
      </c>
    </row>
    <row r="34" spans="1:3">
      <c r="A34" s="8" t="s">
        <v>285</v>
      </c>
      <c r="B34" t="s">
        <v>313</v>
      </c>
      <c r="C34" t="s">
        <v>287</v>
      </c>
    </row>
    <row r="35" spans="1:3">
      <c r="A35" s="9" t="s">
        <v>286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8"/>
  <sheetViews>
    <sheetView workbookViewId="0">
      <pane ySplit="2" topLeftCell="A89" activePane="bottomLeft" state="frozen"/>
      <selection pane="bottomLeft" activeCell="A118" sqref="A118"/>
    </sheetView>
  </sheetViews>
  <sheetFormatPr defaultRowHeight="15"/>
  <cols>
    <col min="1" max="1" width="16" bestFit="1" customWidth="1"/>
    <col min="2" max="2" width="122.28515625" bestFit="1" customWidth="1"/>
  </cols>
  <sheetData>
    <row r="1" spans="1:2" ht="23.25">
      <c r="A1" s="112" t="s">
        <v>3</v>
      </c>
      <c r="B1" s="112"/>
    </row>
    <row r="2" spans="1:2">
      <c r="A2" s="1" t="s">
        <v>4</v>
      </c>
      <c r="B2" s="1" t="s">
        <v>5</v>
      </c>
    </row>
    <row r="3" spans="1:2">
      <c r="A3" s="11" t="s">
        <v>109</v>
      </c>
      <c r="B3" s="11" t="s">
        <v>110</v>
      </c>
    </row>
    <row r="4" spans="1:2">
      <c r="A4" s="11" t="s">
        <v>160</v>
      </c>
      <c r="B4" s="11" t="s">
        <v>161</v>
      </c>
    </row>
    <row r="5" spans="1:2">
      <c r="A5" s="11" t="s">
        <v>8</v>
      </c>
      <c r="B5" s="11" t="s">
        <v>9</v>
      </c>
    </row>
    <row r="6" spans="1:2">
      <c r="A6" t="s">
        <v>6</v>
      </c>
      <c r="B6" t="s">
        <v>7</v>
      </c>
    </row>
    <row r="7" spans="1:2">
      <c r="A7" t="s">
        <v>10</v>
      </c>
      <c r="B7" t="s">
        <v>11</v>
      </c>
    </row>
    <row r="8" spans="1:2">
      <c r="A8" t="s">
        <v>12</v>
      </c>
      <c r="B8" t="s">
        <v>13</v>
      </c>
    </row>
    <row r="9" spans="1:2">
      <c r="A9" s="25" t="s">
        <v>14</v>
      </c>
      <c r="B9" t="s">
        <v>15</v>
      </c>
    </row>
    <row r="10" spans="1:2">
      <c r="A10" s="25" t="s">
        <v>16</v>
      </c>
      <c r="B10" t="s">
        <v>17</v>
      </c>
    </row>
    <row r="11" spans="1:2">
      <c r="A11" s="25" t="s">
        <v>18</v>
      </c>
      <c r="B11" t="s">
        <v>19</v>
      </c>
    </row>
    <row r="12" spans="1:2">
      <c r="A12" s="25" t="s">
        <v>20</v>
      </c>
      <c r="B12" t="s">
        <v>21</v>
      </c>
    </row>
    <row r="13" spans="1:2">
      <c r="A13" s="25" t="s">
        <v>22</v>
      </c>
      <c r="B13" t="s">
        <v>23</v>
      </c>
    </row>
    <row r="14" spans="1:2">
      <c r="A14" s="25" t="s">
        <v>24</v>
      </c>
      <c r="B14" t="s">
        <v>25</v>
      </c>
    </row>
    <row r="15" spans="1:2">
      <c r="A15" s="52" t="s">
        <v>26</v>
      </c>
      <c r="B15" t="s">
        <v>27</v>
      </c>
    </row>
    <row r="16" spans="1:2">
      <c r="A16" s="25" t="s">
        <v>28</v>
      </c>
      <c r="B16" t="s">
        <v>29</v>
      </c>
    </row>
    <row r="17" spans="1:2">
      <c r="A17" s="25" t="s">
        <v>30</v>
      </c>
      <c r="B17" t="s">
        <v>31</v>
      </c>
    </row>
    <row r="18" spans="1:2">
      <c r="A18" s="25" t="s">
        <v>32</v>
      </c>
      <c r="B18" t="s">
        <v>33</v>
      </c>
    </row>
    <row r="19" spans="1:2">
      <c r="A19" t="s">
        <v>34</v>
      </c>
      <c r="B19" t="s">
        <v>35</v>
      </c>
    </row>
    <row r="20" spans="1:2">
      <c r="A20" t="s">
        <v>36</v>
      </c>
      <c r="B20" t="s">
        <v>37</v>
      </c>
    </row>
    <row r="21" spans="1:2">
      <c r="A21" t="s">
        <v>38</v>
      </c>
      <c r="B21" t="s">
        <v>39</v>
      </c>
    </row>
    <row r="22" spans="1:2">
      <c r="A22" t="s">
        <v>40</v>
      </c>
      <c r="B22" t="s">
        <v>41</v>
      </c>
    </row>
    <row r="23" spans="1:2">
      <c r="A23" t="s">
        <v>42</v>
      </c>
      <c r="B23" t="s">
        <v>43</v>
      </c>
    </row>
    <row r="24" spans="1:2">
      <c r="A24" t="s">
        <v>44</v>
      </c>
      <c r="B24" t="s">
        <v>45</v>
      </c>
    </row>
    <row r="25" spans="1:2">
      <c r="A25" t="s">
        <v>46</v>
      </c>
      <c r="B25" t="s">
        <v>21</v>
      </c>
    </row>
    <row r="26" spans="1:2">
      <c r="A26" t="s">
        <v>47</v>
      </c>
      <c r="B26" t="s">
        <v>48</v>
      </c>
    </row>
    <row r="27" spans="1:2">
      <c r="A27" s="25" t="s">
        <v>49</v>
      </c>
      <c r="B27" t="s">
        <v>50</v>
      </c>
    </row>
    <row r="28" spans="1:2">
      <c r="A28" s="25" t="s">
        <v>51</v>
      </c>
      <c r="B28" t="s">
        <v>52</v>
      </c>
    </row>
    <row r="29" spans="1:2">
      <c r="A29" s="25" t="s">
        <v>53</v>
      </c>
      <c r="B29" t="s">
        <v>54</v>
      </c>
    </row>
    <row r="30" spans="1:2">
      <c r="A30" s="25" t="s">
        <v>55</v>
      </c>
      <c r="B30" t="s">
        <v>56</v>
      </c>
    </row>
    <row r="31" spans="1:2">
      <c r="A31" s="25" t="s">
        <v>57</v>
      </c>
      <c r="B31" t="s">
        <v>58</v>
      </c>
    </row>
    <row r="32" spans="1:2">
      <c r="A32" s="25" t="s">
        <v>59</v>
      </c>
      <c r="B32" t="s">
        <v>60</v>
      </c>
    </row>
    <row r="33" spans="1:2">
      <c r="A33" t="s">
        <v>61</v>
      </c>
      <c r="B33" t="s">
        <v>62</v>
      </c>
    </row>
    <row r="34" spans="1:2">
      <c r="A34" t="s">
        <v>63</v>
      </c>
      <c r="B34" t="s">
        <v>64</v>
      </c>
    </row>
    <row r="35" spans="1:2">
      <c r="A35" t="s">
        <v>65</v>
      </c>
      <c r="B35" t="s">
        <v>66</v>
      </c>
    </row>
    <row r="36" spans="1:2">
      <c r="A36" t="s">
        <v>67</v>
      </c>
      <c r="B36" t="s">
        <v>68</v>
      </c>
    </row>
    <row r="37" spans="1:2">
      <c r="A37" t="s">
        <v>69</v>
      </c>
      <c r="B37" t="s">
        <v>70</v>
      </c>
    </row>
    <row r="38" spans="1:2">
      <c r="A38" t="s">
        <v>71</v>
      </c>
      <c r="B38" t="s">
        <v>72</v>
      </c>
    </row>
    <row r="39" spans="1:2">
      <c r="A39" t="s">
        <v>73</v>
      </c>
      <c r="B39" t="s">
        <v>74</v>
      </c>
    </row>
    <row r="40" spans="1:2">
      <c r="A40" t="s">
        <v>75</v>
      </c>
      <c r="B40" t="s">
        <v>76</v>
      </c>
    </row>
    <row r="41" spans="1:2">
      <c r="A41" t="s">
        <v>77</v>
      </c>
      <c r="B41" t="s">
        <v>78</v>
      </c>
    </row>
    <row r="42" spans="1:2">
      <c r="A42" t="s">
        <v>79</v>
      </c>
      <c r="B42" t="s">
        <v>80</v>
      </c>
    </row>
    <row r="43" spans="1:2">
      <c r="A43" s="25" t="s">
        <v>81</v>
      </c>
      <c r="B43" t="s">
        <v>82</v>
      </c>
    </row>
    <row r="44" spans="1:2">
      <c r="A44" s="25" t="s">
        <v>83</v>
      </c>
      <c r="B44" t="s">
        <v>84</v>
      </c>
    </row>
    <row r="45" spans="1:2">
      <c r="A45" s="25" t="s">
        <v>85</v>
      </c>
      <c r="B45" t="s">
        <v>86</v>
      </c>
    </row>
    <row r="46" spans="1:2">
      <c r="A46" s="25" t="s">
        <v>87</v>
      </c>
      <c r="B46" t="s">
        <v>88</v>
      </c>
    </row>
    <row r="47" spans="1:2">
      <c r="A47" s="25" t="s">
        <v>89</v>
      </c>
      <c r="B47" t="s">
        <v>90</v>
      </c>
    </row>
    <row r="48" spans="1:2">
      <c r="A48" t="s">
        <v>91</v>
      </c>
      <c r="B48" t="s">
        <v>92</v>
      </c>
    </row>
    <row r="49" spans="1:2">
      <c r="A49" t="s">
        <v>93</v>
      </c>
      <c r="B49" t="s">
        <v>94</v>
      </c>
    </row>
    <row r="50" spans="1:2">
      <c r="A50" t="s">
        <v>95</v>
      </c>
      <c r="B50" t="s">
        <v>96</v>
      </c>
    </row>
    <row r="51" spans="1:2">
      <c r="A51" t="s">
        <v>97</v>
      </c>
      <c r="B51" t="s">
        <v>98</v>
      </c>
    </row>
    <row r="52" spans="1:2">
      <c r="A52" t="s">
        <v>99</v>
      </c>
      <c r="B52" t="s">
        <v>100</v>
      </c>
    </row>
    <row r="53" spans="1:2">
      <c r="A53" t="s">
        <v>101</v>
      </c>
      <c r="B53" t="s">
        <v>102</v>
      </c>
    </row>
    <row r="54" spans="1:2">
      <c r="A54" t="s">
        <v>103</v>
      </c>
      <c r="B54" t="s">
        <v>104</v>
      </c>
    </row>
    <row r="55" spans="1:2">
      <c r="A55" t="s">
        <v>105</v>
      </c>
      <c r="B55" t="s">
        <v>106</v>
      </c>
    </row>
    <row r="56" spans="1:2">
      <c r="A56" t="s">
        <v>107</v>
      </c>
      <c r="B56" t="s">
        <v>108</v>
      </c>
    </row>
    <row r="57" spans="1:2">
      <c r="A57" t="s">
        <v>111</v>
      </c>
      <c r="B57" t="s">
        <v>112</v>
      </c>
    </row>
    <row r="58" spans="1:2">
      <c r="A58" t="s">
        <v>113</v>
      </c>
      <c r="B58" t="s">
        <v>114</v>
      </c>
    </row>
    <row r="59" spans="1:2">
      <c r="A59" t="s">
        <v>115</v>
      </c>
      <c r="B59" t="s">
        <v>80</v>
      </c>
    </row>
    <row r="60" spans="1:2">
      <c r="A60" s="25" t="s">
        <v>116</v>
      </c>
      <c r="B60" s="25" t="s">
        <v>117</v>
      </c>
    </row>
    <row r="61" spans="1:2">
      <c r="A61" s="25" t="s">
        <v>118</v>
      </c>
      <c r="B61" s="25" t="s">
        <v>119</v>
      </c>
    </row>
    <row r="62" spans="1:2">
      <c r="A62" s="25" t="s">
        <v>120</v>
      </c>
      <c r="B62" s="25" t="s">
        <v>121</v>
      </c>
    </row>
    <row r="63" spans="1:2">
      <c r="A63" s="25" t="s">
        <v>122</v>
      </c>
      <c r="B63" s="25" t="s">
        <v>123</v>
      </c>
    </row>
    <row r="64" spans="1:2">
      <c r="A64" s="25" t="s">
        <v>124</v>
      </c>
      <c r="B64" s="25" t="s">
        <v>125</v>
      </c>
    </row>
    <row r="65" spans="1:2">
      <c r="A65" s="25" t="s">
        <v>126</v>
      </c>
      <c r="B65" s="25" t="s">
        <v>127</v>
      </c>
    </row>
    <row r="66" spans="1:2">
      <c r="A66" s="25" t="s">
        <v>128</v>
      </c>
      <c r="B66" s="25" t="s">
        <v>129</v>
      </c>
    </row>
    <row r="67" spans="1:2">
      <c r="A67" s="25" t="s">
        <v>130</v>
      </c>
      <c r="B67" s="25" t="s">
        <v>131</v>
      </c>
    </row>
    <row r="68" spans="1:2">
      <c r="A68" t="s">
        <v>132</v>
      </c>
      <c r="B68" t="s">
        <v>133</v>
      </c>
    </row>
    <row r="69" spans="1:2">
      <c r="A69" t="s">
        <v>134</v>
      </c>
      <c r="B69" t="s">
        <v>135</v>
      </c>
    </row>
    <row r="70" spans="1:2">
      <c r="A70" t="s">
        <v>136</v>
      </c>
      <c r="B70" t="s">
        <v>137</v>
      </c>
    </row>
    <row r="71" spans="1:2">
      <c r="A71" t="s">
        <v>138</v>
      </c>
      <c r="B71" t="s">
        <v>139</v>
      </c>
    </row>
    <row r="72" spans="1:2">
      <c r="A72" t="s">
        <v>140</v>
      </c>
      <c r="B72" t="s">
        <v>141</v>
      </c>
    </row>
    <row r="73" spans="1:2">
      <c r="A73" t="s">
        <v>142</v>
      </c>
      <c r="B73" t="s">
        <v>143</v>
      </c>
    </row>
    <row r="74" spans="1:2">
      <c r="A74" t="s">
        <v>144</v>
      </c>
      <c r="B74" t="s">
        <v>145</v>
      </c>
    </row>
    <row r="75" spans="1:2">
      <c r="A75" t="s">
        <v>146</v>
      </c>
      <c r="B75" t="s">
        <v>147</v>
      </c>
    </row>
    <row r="76" spans="1:2">
      <c r="A76" t="s">
        <v>148</v>
      </c>
      <c r="B76" t="s">
        <v>149</v>
      </c>
    </row>
    <row r="77" spans="1:2">
      <c r="A77" t="s">
        <v>150</v>
      </c>
      <c r="B77" t="s">
        <v>151</v>
      </c>
    </row>
    <row r="78" spans="1:2">
      <c r="A78" t="s">
        <v>152</v>
      </c>
      <c r="B78" t="s">
        <v>153</v>
      </c>
    </row>
    <row r="79" spans="1:2">
      <c r="A79" t="s">
        <v>154</v>
      </c>
      <c r="B79" t="s">
        <v>155</v>
      </c>
    </row>
    <row r="80" spans="1:2">
      <c r="A80" t="s">
        <v>156</v>
      </c>
      <c r="B80" t="s">
        <v>157</v>
      </c>
    </row>
    <row r="81" spans="1:2">
      <c r="A81" t="s">
        <v>158</v>
      </c>
      <c r="B81" t="s">
        <v>159</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s="25" t="s">
        <v>210</v>
      </c>
      <c r="B106" t="s">
        <v>211</v>
      </c>
    </row>
    <row r="107" spans="1:2">
      <c r="A107" s="25" t="s">
        <v>212</v>
      </c>
      <c r="B107" t="s">
        <v>213</v>
      </c>
    </row>
    <row r="108" spans="1:2">
      <c r="A108" s="25" t="s">
        <v>214</v>
      </c>
      <c r="B108" t="s">
        <v>215</v>
      </c>
    </row>
    <row r="109" spans="1:2">
      <c r="A109" s="25"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sheetData>
  <mergeCells count="1">
    <mergeCell ref="A1:B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77"/>
  <sheetViews>
    <sheetView workbookViewId="0">
      <pane ySplit="2" topLeftCell="A48" activePane="bottomLeft" state="frozen"/>
      <selection pane="bottomLeft" activeCell="B77" sqref="B77"/>
    </sheetView>
  </sheetViews>
  <sheetFormatPr defaultRowHeight="15"/>
  <cols>
    <col min="1" max="1" width="15.7109375" bestFit="1" customWidth="1"/>
    <col min="2" max="2" width="132.28515625" bestFit="1" customWidth="1"/>
  </cols>
  <sheetData>
    <row r="1" spans="1:2" ht="23.25">
      <c r="A1" s="112" t="s">
        <v>492</v>
      </c>
      <c r="B1" s="112"/>
    </row>
    <row r="2" spans="1:2">
      <c r="A2" s="1" t="s">
        <v>349</v>
      </c>
      <c r="B2" s="1" t="s">
        <v>5</v>
      </c>
    </row>
    <row r="3" spans="1:2">
      <c r="A3" t="s">
        <v>350</v>
      </c>
      <c r="B3" t="s">
        <v>351</v>
      </c>
    </row>
    <row r="4" spans="1:2">
      <c r="A4" t="s">
        <v>348</v>
      </c>
      <c r="B4" t="s">
        <v>352</v>
      </c>
    </row>
    <row r="5" spans="1:2">
      <c r="A5" t="s">
        <v>353</v>
      </c>
      <c r="B5" t="s">
        <v>354</v>
      </c>
    </row>
    <row r="6" spans="1:2">
      <c r="A6" t="s">
        <v>355</v>
      </c>
      <c r="B6" t="s">
        <v>356</v>
      </c>
    </row>
    <row r="7" spans="1:2">
      <c r="A7" t="s">
        <v>357</v>
      </c>
      <c r="B7" t="s">
        <v>358</v>
      </c>
    </row>
    <row r="8" spans="1:2">
      <c r="A8" t="s">
        <v>359</v>
      </c>
      <c r="B8" t="s">
        <v>360</v>
      </c>
    </row>
    <row r="9" spans="1:2">
      <c r="A9" t="s">
        <v>361</v>
      </c>
      <c r="B9" t="s">
        <v>362</v>
      </c>
    </row>
    <row r="10" spans="1:2">
      <c r="A10" t="s">
        <v>49</v>
      </c>
      <c r="B10" t="s">
        <v>363</v>
      </c>
    </row>
    <row r="11" spans="1:2">
      <c r="A11" t="s">
        <v>364</v>
      </c>
      <c r="B11" t="s">
        <v>365</v>
      </c>
    </row>
    <row r="12" spans="1:2">
      <c r="A12" t="s">
        <v>366</v>
      </c>
      <c r="B12" t="s">
        <v>367</v>
      </c>
    </row>
    <row r="13" spans="1:2">
      <c r="A13" t="s">
        <v>368</v>
      </c>
      <c r="B13" t="s">
        <v>369</v>
      </c>
    </row>
    <row r="14" spans="1:2">
      <c r="A14" t="s">
        <v>370</v>
      </c>
      <c r="B14" t="s">
        <v>371</v>
      </c>
    </row>
    <row r="15" spans="1:2">
      <c r="A15" t="s">
        <v>372</v>
      </c>
      <c r="B15" t="s">
        <v>373</v>
      </c>
    </row>
    <row r="16" spans="1:2">
      <c r="A16" t="s">
        <v>374</v>
      </c>
      <c r="B16" t="s">
        <v>375</v>
      </c>
    </row>
    <row r="17" spans="1:2">
      <c r="A17" t="s">
        <v>69</v>
      </c>
      <c r="B17" t="s">
        <v>376</v>
      </c>
    </row>
    <row r="18" spans="1:2">
      <c r="A18" t="s">
        <v>377</v>
      </c>
      <c r="B18" t="s">
        <v>378</v>
      </c>
    </row>
    <row r="19" spans="1:2">
      <c r="A19" t="s">
        <v>379</v>
      </c>
      <c r="B19" t="s">
        <v>380</v>
      </c>
    </row>
    <row r="20" spans="1:2">
      <c r="A20" t="s">
        <v>381</v>
      </c>
      <c r="B20" t="s">
        <v>382</v>
      </c>
    </row>
    <row r="21" spans="1:2">
      <c r="A21" t="s">
        <v>383</v>
      </c>
      <c r="B21" t="s">
        <v>384</v>
      </c>
    </row>
    <row r="22" spans="1:2">
      <c r="A22" t="s">
        <v>385</v>
      </c>
      <c r="B22" t="s">
        <v>386</v>
      </c>
    </row>
    <row r="23" spans="1:2">
      <c r="A23" t="s">
        <v>387</v>
      </c>
      <c r="B23" t="s">
        <v>388</v>
      </c>
    </row>
    <row r="24" spans="1:2">
      <c r="A24" t="s">
        <v>389</v>
      </c>
      <c r="B24" t="s">
        <v>390</v>
      </c>
    </row>
    <row r="25" spans="1:2">
      <c r="A25" t="s">
        <v>391</v>
      </c>
      <c r="B25" t="s">
        <v>392</v>
      </c>
    </row>
    <row r="26" spans="1:2">
      <c r="A26" t="s">
        <v>393</v>
      </c>
      <c r="B26" t="s">
        <v>394</v>
      </c>
    </row>
    <row r="27" spans="1:2">
      <c r="A27" t="s">
        <v>395</v>
      </c>
      <c r="B27" t="s">
        <v>396</v>
      </c>
    </row>
    <row r="28" spans="1:2">
      <c r="A28" t="s">
        <v>397</v>
      </c>
      <c r="B28" t="s">
        <v>398</v>
      </c>
    </row>
    <row r="29" spans="1:2">
      <c r="A29" t="s">
        <v>399</v>
      </c>
      <c r="B29" t="s">
        <v>400</v>
      </c>
    </row>
    <row r="30" spans="1:2">
      <c r="A30" t="s">
        <v>401</v>
      </c>
      <c r="B30" t="s">
        <v>402</v>
      </c>
    </row>
    <row r="31" spans="1:2">
      <c r="A31" t="s">
        <v>403</v>
      </c>
      <c r="B31" t="s">
        <v>404</v>
      </c>
    </row>
    <row r="32" spans="1:2">
      <c r="A32" t="s">
        <v>405</v>
      </c>
      <c r="B32" t="s">
        <v>406</v>
      </c>
    </row>
    <row r="33" spans="1:2">
      <c r="A33" t="s">
        <v>407</v>
      </c>
      <c r="B33" t="s">
        <v>408</v>
      </c>
    </row>
    <row r="34" spans="1:2">
      <c r="A34" t="s">
        <v>409</v>
      </c>
      <c r="B34" t="s">
        <v>410</v>
      </c>
    </row>
    <row r="35" spans="1:2">
      <c r="A35" t="s">
        <v>411</v>
      </c>
      <c r="B35" t="s">
        <v>412</v>
      </c>
    </row>
    <row r="36" spans="1:2">
      <c r="A36" t="s">
        <v>413</v>
      </c>
      <c r="B36" t="s">
        <v>414</v>
      </c>
    </row>
    <row r="37" spans="1:2">
      <c r="A37" t="s">
        <v>150</v>
      </c>
      <c r="B37" t="s">
        <v>415</v>
      </c>
    </row>
    <row r="38" spans="1:2">
      <c r="A38" t="s">
        <v>416</v>
      </c>
      <c r="B38" t="s">
        <v>417</v>
      </c>
    </row>
    <row r="39" spans="1:2">
      <c r="A39" t="s">
        <v>418</v>
      </c>
      <c r="B39" t="s">
        <v>419</v>
      </c>
    </row>
    <row r="40" spans="1:2">
      <c r="A40" t="s">
        <v>420</v>
      </c>
      <c r="B40" t="s">
        <v>421</v>
      </c>
    </row>
    <row r="41" spans="1:2">
      <c r="A41" t="s">
        <v>422</v>
      </c>
      <c r="B41" t="s">
        <v>423</v>
      </c>
    </row>
    <row r="42" spans="1:2">
      <c r="A42" t="s">
        <v>424</v>
      </c>
      <c r="B42" t="s">
        <v>423</v>
      </c>
    </row>
    <row r="43" spans="1:2">
      <c r="A43" t="s">
        <v>425</v>
      </c>
      <c r="B43" t="s">
        <v>426</v>
      </c>
    </row>
    <row r="44" spans="1:2">
      <c r="A44" t="s">
        <v>427</v>
      </c>
      <c r="B44" t="s">
        <v>428</v>
      </c>
    </row>
    <row r="45" spans="1:2">
      <c r="A45" t="s">
        <v>429</v>
      </c>
      <c r="B45" t="s">
        <v>430</v>
      </c>
    </row>
    <row r="46" spans="1:2">
      <c r="A46" t="s">
        <v>431</v>
      </c>
      <c r="B46" t="s">
        <v>432</v>
      </c>
    </row>
    <row r="47" spans="1:2">
      <c r="A47" t="s">
        <v>433</v>
      </c>
      <c r="B47" t="s">
        <v>434</v>
      </c>
    </row>
    <row r="48" spans="1:2">
      <c r="A48" t="s">
        <v>435</v>
      </c>
      <c r="B48" t="s">
        <v>436</v>
      </c>
    </row>
    <row r="49" spans="1:2">
      <c r="A49" t="s">
        <v>437</v>
      </c>
      <c r="B49" t="s">
        <v>438</v>
      </c>
    </row>
    <row r="50" spans="1:2">
      <c r="A50" t="s">
        <v>439</v>
      </c>
      <c r="B50" t="s">
        <v>440</v>
      </c>
    </row>
    <row r="51" spans="1:2">
      <c r="A51" t="s">
        <v>441</v>
      </c>
      <c r="B51" t="s">
        <v>442</v>
      </c>
    </row>
    <row r="52" spans="1:2">
      <c r="A52" t="s">
        <v>443</v>
      </c>
      <c r="B52" t="s">
        <v>444</v>
      </c>
    </row>
    <row r="53" spans="1:2">
      <c r="A53" t="s">
        <v>445</v>
      </c>
      <c r="B53" t="s">
        <v>446</v>
      </c>
    </row>
    <row r="54" spans="1:2">
      <c r="A54" t="s">
        <v>447</v>
      </c>
      <c r="B54" t="s">
        <v>448</v>
      </c>
    </row>
    <row r="55" spans="1:2">
      <c r="A55" t="s">
        <v>449</v>
      </c>
      <c r="B55" t="s">
        <v>450</v>
      </c>
    </row>
    <row r="56" spans="1:2">
      <c r="A56" t="s">
        <v>451</v>
      </c>
      <c r="B56" t="s">
        <v>452</v>
      </c>
    </row>
    <row r="57" spans="1:2">
      <c r="A57" t="s">
        <v>453</v>
      </c>
      <c r="B57" t="s">
        <v>454</v>
      </c>
    </row>
    <row r="58" spans="1:2">
      <c r="A58" t="s">
        <v>455</v>
      </c>
      <c r="B58" t="s">
        <v>456</v>
      </c>
    </row>
    <row r="59" spans="1:2">
      <c r="A59" t="s">
        <v>457</v>
      </c>
      <c r="B59" t="s">
        <v>458</v>
      </c>
    </row>
    <row r="60" spans="1:2">
      <c r="A60" t="s">
        <v>459</v>
      </c>
      <c r="B60" t="s">
        <v>460</v>
      </c>
    </row>
    <row r="61" spans="1:2">
      <c r="A61" t="s">
        <v>461</v>
      </c>
      <c r="B61" t="s">
        <v>462</v>
      </c>
    </row>
    <row r="62" spans="1:2">
      <c r="A62" t="s">
        <v>463</v>
      </c>
      <c r="B62" t="s">
        <v>464</v>
      </c>
    </row>
    <row r="63" spans="1:2">
      <c r="A63" t="s">
        <v>180</v>
      </c>
      <c r="B63" t="s">
        <v>465</v>
      </c>
    </row>
    <row r="64" spans="1:2">
      <c r="A64" t="s">
        <v>466</v>
      </c>
      <c r="B64" t="s">
        <v>467</v>
      </c>
    </row>
    <row r="65" spans="1:2">
      <c r="A65" t="s">
        <v>468</v>
      </c>
      <c r="B65" t="s">
        <v>469</v>
      </c>
    </row>
    <row r="66" spans="1:2">
      <c r="A66" t="s">
        <v>470</v>
      </c>
      <c r="B66" t="s">
        <v>471</v>
      </c>
    </row>
    <row r="67" spans="1:2">
      <c r="A67" t="s">
        <v>472</v>
      </c>
      <c r="B67" t="s">
        <v>473</v>
      </c>
    </row>
    <row r="68" spans="1:2">
      <c r="A68" t="s">
        <v>474</v>
      </c>
      <c r="B68" t="s">
        <v>475</v>
      </c>
    </row>
    <row r="69" spans="1:2">
      <c r="A69" t="s">
        <v>476</v>
      </c>
      <c r="B69" t="s">
        <v>477</v>
      </c>
    </row>
    <row r="70" spans="1:2">
      <c r="A70" t="s">
        <v>478</v>
      </c>
      <c r="B70" t="s">
        <v>479</v>
      </c>
    </row>
    <row r="71" spans="1:2">
      <c r="A71" t="s">
        <v>210</v>
      </c>
      <c r="B71" t="s">
        <v>480</v>
      </c>
    </row>
    <row r="72" spans="1:2">
      <c r="A72" t="s">
        <v>285</v>
      </c>
      <c r="B72" t="s">
        <v>481</v>
      </c>
    </row>
    <row r="73" spans="1:2">
      <c r="A73" t="s">
        <v>482</v>
      </c>
      <c r="B73" t="s">
        <v>483</v>
      </c>
    </row>
    <row r="74" spans="1:2">
      <c r="A74" t="s">
        <v>484</v>
      </c>
      <c r="B74" t="s">
        <v>485</v>
      </c>
    </row>
    <row r="75" spans="1:2">
      <c r="A75" t="s">
        <v>486</v>
      </c>
      <c r="B75" t="s">
        <v>487</v>
      </c>
    </row>
    <row r="76" spans="1:2">
      <c r="A76" t="s">
        <v>488</v>
      </c>
      <c r="B76" t="s">
        <v>489</v>
      </c>
    </row>
    <row r="77" spans="1:2">
      <c r="A77" t="s">
        <v>490</v>
      </c>
      <c r="B77" t="s">
        <v>491</v>
      </c>
    </row>
  </sheetData>
  <mergeCells count="1">
    <mergeCell ref="A1:B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pas12"/>
  <dimension ref="A1:B21"/>
  <sheetViews>
    <sheetView workbookViewId="0">
      <selection activeCell="A9" sqref="A9"/>
    </sheetView>
  </sheetViews>
  <sheetFormatPr defaultRowHeight="15"/>
  <cols>
    <col min="1" max="1" width="51.28515625" bestFit="1" customWidth="1"/>
    <col min="2" max="2" width="51.140625" style="25" bestFit="1" customWidth="1"/>
  </cols>
  <sheetData>
    <row r="1" spans="1:2">
      <c r="A1" t="s">
        <v>794</v>
      </c>
    </row>
    <row r="2" spans="1:2">
      <c r="A2" t="s">
        <v>795</v>
      </c>
    </row>
    <row r="3" spans="1:2">
      <c r="A3" t="s">
        <v>796</v>
      </c>
    </row>
    <row r="4" spans="1:2">
      <c r="A4" s="25" t="s">
        <v>797</v>
      </c>
      <c r="B4" s="25" t="s">
        <v>809</v>
      </c>
    </row>
    <row r="5" spans="1:2">
      <c r="A5" s="25" t="s">
        <v>798</v>
      </c>
      <c r="B5" s="25" t="s">
        <v>809</v>
      </c>
    </row>
    <row r="6" spans="1:2">
      <c r="A6" t="s">
        <v>799</v>
      </c>
    </row>
    <row r="8" spans="1:2">
      <c r="A8" t="s">
        <v>813</v>
      </c>
    </row>
    <row r="9" spans="1:2">
      <c r="A9" t="s">
        <v>800</v>
      </c>
    </row>
    <row r="10" spans="1:2">
      <c r="A10" t="s">
        <v>808</v>
      </c>
    </row>
    <row r="11" spans="1:2">
      <c r="A11" s="25" t="s">
        <v>801</v>
      </c>
      <c r="B11" s="25" t="s">
        <v>810</v>
      </c>
    </row>
    <row r="12" spans="1:2">
      <c r="A12" t="s">
        <v>802</v>
      </c>
    </row>
    <row r="13" spans="1:2">
      <c r="A13" t="s">
        <v>803</v>
      </c>
    </row>
    <row r="16" spans="1:2">
      <c r="A16" s="25" t="s">
        <v>804</v>
      </c>
      <c r="B16" s="25" t="s">
        <v>809</v>
      </c>
    </row>
    <row r="17" spans="1:1">
      <c r="A17" t="s">
        <v>805</v>
      </c>
    </row>
    <row r="18" spans="1:1">
      <c r="A18" t="s">
        <v>806</v>
      </c>
    </row>
    <row r="19" spans="1:1">
      <c r="A19" t="s">
        <v>250</v>
      </c>
    </row>
    <row r="21" spans="1:1">
      <c r="A21" t="s">
        <v>807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11"/>
  <dimension ref="A1:F23"/>
  <sheetViews>
    <sheetView zoomScale="130" zoomScaleNormal="130" workbookViewId="0">
      <selection activeCell="G14" sqref="G14"/>
    </sheetView>
  </sheetViews>
  <sheetFormatPr defaultRowHeight="15"/>
  <cols>
    <col min="1" max="1" width="14.42578125" style="103" customWidth="1"/>
    <col min="2" max="2" width="6" style="103" customWidth="1"/>
    <col min="3" max="5" width="9.140625" style="103"/>
    <col min="6" max="6" width="27.140625" style="103" customWidth="1"/>
    <col min="7" max="16384" width="9.140625" style="103"/>
  </cols>
  <sheetData>
    <row r="1" spans="1:6">
      <c r="D1" s="103">
        <v>6</v>
      </c>
      <c r="E1" s="103" t="b">
        <v>1</v>
      </c>
    </row>
    <row r="2" spans="1:6">
      <c r="D2" s="109">
        <f>LARGE(cond,D1)</f>
        <v>1</v>
      </c>
    </row>
    <row r="4" spans="1:6">
      <c r="D4" s="108">
        <v>2</v>
      </c>
    </row>
    <row r="5" spans="1:6">
      <c r="D5" s="106">
        <v>-3</v>
      </c>
      <c r="F5" s="103">
        <v>8</v>
      </c>
    </row>
    <row r="6" spans="1:6">
      <c r="D6" s="106">
        <v>-9</v>
      </c>
    </row>
    <row r="7" spans="1:6">
      <c r="D7" s="106">
        <v>9</v>
      </c>
      <c r="F7" s="103">
        <v>7</v>
      </c>
    </row>
    <row r="8" spans="1:6">
      <c r="D8" s="106">
        <v>-4</v>
      </c>
    </row>
    <row r="9" spans="1:6">
      <c r="D9" s="106">
        <v>5</v>
      </c>
    </row>
    <row r="10" spans="1:6">
      <c r="D10" s="106">
        <v>1</v>
      </c>
    </row>
    <row r="11" spans="1:6">
      <c r="A11" s="107">
        <v>45</v>
      </c>
      <c r="D11" s="106">
        <v>6</v>
      </c>
    </row>
    <row r="12" spans="1:6">
      <c r="A12" s="104">
        <v>90</v>
      </c>
      <c r="D12" s="105">
        <v>4</v>
      </c>
    </row>
    <row r="13" spans="1:6">
      <c r="A13" s="104">
        <v>25</v>
      </c>
    </row>
    <row r="14" spans="1:6">
      <c r="A14" s="103" t="s">
        <v>792</v>
      </c>
    </row>
    <row r="15" spans="1:6">
      <c r="A15" s="103" t="s">
        <v>791</v>
      </c>
    </row>
    <row r="16" spans="1:6">
      <c r="A16" s="103" t="s">
        <v>790</v>
      </c>
    </row>
    <row r="17" spans="1:5">
      <c r="A17" s="103" t="s">
        <v>790</v>
      </c>
    </row>
    <row r="18" spans="1:5">
      <c r="A18" s="103" t="s">
        <v>789</v>
      </c>
    </row>
    <row r="19" spans="1:5">
      <c r="A19" s="104">
        <v>120</v>
      </c>
    </row>
    <row r="20" spans="1:5">
      <c r="D20" s="113" t="s">
        <v>788</v>
      </c>
      <c r="E20" s="113"/>
    </row>
    <row r="21" spans="1:5">
      <c r="D21" s="113"/>
      <c r="E21" s="113"/>
    </row>
    <row r="22" spans="1:5">
      <c r="D22" s="113"/>
      <c r="E22" s="113"/>
    </row>
    <row r="23" spans="1:5">
      <c r="D23" s="113"/>
      <c r="E23" s="113"/>
    </row>
  </sheetData>
  <mergeCells count="1">
    <mergeCell ref="D20:E23"/>
  </mergeCells>
  <conditionalFormatting sqref="D4:D12">
    <cfRule type="expression" dxfId="5" priority="1">
      <formula>AND($E$1,D4&gt;=$D$2)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2" r:id="rId3" name="Spinner 2">
              <controlPr defaultSize="0" autoPict="0">
                <anchor moveWithCells="1" sizeWithCells="1">
                  <from>
                    <xdr:col>2</xdr:col>
                    <xdr:colOff>123825</xdr:colOff>
                    <xdr:row>0</xdr:row>
                    <xdr:rowOff>0</xdr:rowOff>
                  </from>
                  <to>
                    <xdr:col>2</xdr:col>
                    <xdr:colOff>523875</xdr:colOff>
                    <xdr:row>1</xdr:row>
                    <xdr:rowOff>152400</xdr:rowOff>
                  </to>
                </anchor>
              </controlPr>
            </control>
          </mc:Choice>
        </mc:AlternateContent>
        <mc:AlternateContent xmlns:mc="http://schemas.openxmlformats.org/markup-compatibility/2006">
          <mc:Choice Requires="x14">
            <control shapeId="30723" r:id="rId4" name="Spinner 3">
              <controlPr defaultSize="0" autoPict="0">
                <anchor moveWithCells="1" siz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30724" r:id="rId5" name="Spinner 4">
              <controlPr defaultSize="0" autoPict="0">
                <anchor moveWithCells="1" siz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30725" r:id="rId6" name="Spinner 5">
              <controlPr defaultSize="0" autoPict="0">
                <anchor moveWithCells="1" siz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30726" r:id="rId7" name="Check Box 6">
              <controlPr defaultSize="0" autoFill="0" autoLine="0" autoPict="0" altText="Keisti žymeklį">
                <anchor moveWithCells="1">
                  <from>
                    <xdr:col>5</xdr:col>
                    <xdr:colOff>38100</xdr:colOff>
                    <xdr:row>0</xdr:row>
                    <xdr:rowOff>19050</xdr:rowOff>
                  </from>
                  <to>
                    <xdr:col>5</xdr:col>
                    <xdr:colOff>1466850</xdr:colOff>
                    <xdr:row>1</xdr:row>
                    <xdr:rowOff>0</xdr:rowOff>
                  </to>
                </anchor>
              </controlPr>
            </control>
          </mc:Choice>
        </mc:AlternateContent>
        <mc:AlternateContent xmlns:mc="http://schemas.openxmlformats.org/markup-compatibility/2006">
          <mc:Choice Requires="x14">
            <control shapeId="30727" r:id="rId8" name="Drop Down 7">
              <controlPr defaultSize="0" autoLine="0" autoPict="0">
                <anchor moveWithCells="1">
                  <from>
                    <xdr:col>5</xdr:col>
                    <xdr:colOff>0</xdr:colOff>
                    <xdr:row>3</xdr:row>
                    <xdr:rowOff>0</xdr:rowOff>
                  </from>
                  <to>
                    <xdr:col>5</xdr:col>
                    <xdr:colOff>1466850</xdr:colOff>
                    <xdr:row>4</xdr:row>
                    <xdr:rowOff>0</xdr:rowOff>
                  </to>
                </anchor>
              </controlPr>
            </control>
          </mc:Choice>
        </mc:AlternateContent>
        <mc:AlternateContent xmlns:mc="http://schemas.openxmlformats.org/markup-compatibility/2006">
          <mc:Choice Requires="x14">
            <control shapeId="30728" r:id="rId9" name="Drop Down 8">
              <controlPr defaultSize="0" autoLine="0" autoPict="0">
                <anchor moveWithCells="1">
                  <from>
                    <xdr:col>5</xdr:col>
                    <xdr:colOff>0</xdr:colOff>
                    <xdr:row>4</xdr:row>
                    <xdr:rowOff>0</xdr:rowOff>
                  </from>
                  <to>
                    <xdr:col>5</xdr:col>
                    <xdr:colOff>1466850</xdr:colOff>
                    <xdr:row>5</xdr:row>
                    <xdr:rowOff>0</xdr:rowOff>
                  </to>
                </anchor>
              </controlPr>
            </control>
          </mc:Choice>
        </mc:AlternateContent>
        <mc:AlternateContent xmlns:mc="http://schemas.openxmlformats.org/markup-compatibility/2006">
          <mc:Choice Requires="x14">
            <control shapeId="30729" r:id="rId10" name="List Box 9">
              <controlPr defaultSize="0" autoLine="0" autoPict="0">
                <anchor moveWithCells="1">
                  <from>
                    <xdr:col>5</xdr:col>
                    <xdr:colOff>276225</xdr:colOff>
                    <xdr:row>7</xdr:row>
                    <xdr:rowOff>180975</xdr:rowOff>
                  </from>
                  <to>
                    <xdr:col>5</xdr:col>
                    <xdr:colOff>1066800</xdr:colOff>
                    <xdr:row>14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pas10"/>
  <dimension ref="A1:E6"/>
  <sheetViews>
    <sheetView workbookViewId="0">
      <selection activeCell="D18" sqref="D18"/>
    </sheetView>
  </sheetViews>
  <sheetFormatPr defaultRowHeight="15"/>
  <sheetData>
    <row r="1" spans="1:5">
      <c r="A1" s="96"/>
    </row>
    <row r="2" spans="1:5">
      <c r="A2" s="94"/>
    </row>
    <row r="3" spans="1:5">
      <c r="A3" s="98"/>
    </row>
    <row r="4" spans="1:5">
      <c r="A4" s="97"/>
      <c r="D4" s="52"/>
    </row>
    <row r="5" spans="1:5">
      <c r="D5" s="100">
        <v>55</v>
      </c>
      <c r="E5" s="99"/>
    </row>
    <row r="6" spans="1:5" ht="15.75">
      <c r="D6" s="101">
        <v>55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6"/>
  <sheetViews>
    <sheetView workbookViewId="0">
      <selection activeCell="A6" sqref="A6"/>
    </sheetView>
  </sheetViews>
  <sheetFormatPr defaultColWidth="9.140625" defaultRowHeight="15"/>
  <cols>
    <col min="1" max="1" width="45.28515625" style="55" bestFit="1" customWidth="1"/>
    <col min="2" max="2" width="9.140625" style="53"/>
    <col min="3" max="3" width="37.28515625" style="54" bestFit="1" customWidth="1"/>
    <col min="4" max="4" width="14.140625" style="53" bestFit="1" customWidth="1"/>
    <col min="5" max="5" width="29.85546875" style="53" bestFit="1" customWidth="1"/>
    <col min="6" max="16384" width="9.140625" style="53"/>
  </cols>
  <sheetData>
    <row r="1" spans="1:5">
      <c r="C1" s="59" t="s">
        <v>645</v>
      </c>
      <c r="D1" s="58" t="s">
        <v>637</v>
      </c>
      <c r="E1" s="57" t="s">
        <v>644</v>
      </c>
    </row>
    <row r="2" spans="1:5">
      <c r="A2" s="55" t="s">
        <v>526</v>
      </c>
      <c r="C2" s="54" t="s">
        <v>636</v>
      </c>
      <c r="D2" s="53" t="s">
        <v>635</v>
      </c>
      <c r="E2" s="53" t="s">
        <v>634</v>
      </c>
    </row>
    <row r="3" spans="1:5">
      <c r="A3" s="55" t="s">
        <v>527</v>
      </c>
      <c r="C3" s="54" t="s">
        <v>633</v>
      </c>
      <c r="D3" s="53" t="s">
        <v>632</v>
      </c>
      <c r="E3" s="53" t="s">
        <v>631</v>
      </c>
    </row>
    <row r="4" spans="1:5">
      <c r="A4" s="55" t="s">
        <v>528</v>
      </c>
      <c r="C4" s="54" t="s">
        <v>630</v>
      </c>
      <c r="D4" s="53" t="s">
        <v>629</v>
      </c>
      <c r="E4" s="53" t="s">
        <v>628</v>
      </c>
    </row>
    <row r="5" spans="1:5">
      <c r="A5" s="55" t="s">
        <v>529</v>
      </c>
      <c r="C5" s="54" t="s">
        <v>627</v>
      </c>
      <c r="D5" s="53" t="s">
        <v>626</v>
      </c>
      <c r="E5" s="53" t="s">
        <v>625</v>
      </c>
    </row>
    <row r="6" spans="1:5">
      <c r="A6" s="55" t="s">
        <v>507</v>
      </c>
      <c r="C6" s="54" t="s">
        <v>624</v>
      </c>
      <c r="D6" s="53" t="s">
        <v>623</v>
      </c>
      <c r="E6" s="53" t="s">
        <v>359</v>
      </c>
    </row>
    <row r="7" spans="1:5">
      <c r="A7" s="55" t="s">
        <v>507</v>
      </c>
      <c r="C7" s="54" t="s">
        <v>622</v>
      </c>
      <c r="E7" s="53" t="s">
        <v>621</v>
      </c>
    </row>
    <row r="8" spans="1:5">
      <c r="A8" s="55" t="s">
        <v>524</v>
      </c>
      <c r="C8" s="54" t="s">
        <v>620</v>
      </c>
      <c r="E8" s="53" t="s">
        <v>619</v>
      </c>
    </row>
    <row r="9" spans="1:5">
      <c r="A9" s="55" t="s">
        <v>543</v>
      </c>
      <c r="C9" s="54" t="s">
        <v>618</v>
      </c>
      <c r="E9" s="53" t="s">
        <v>617</v>
      </c>
    </row>
    <row r="10" spans="1:5">
      <c r="A10" s="55" t="s">
        <v>508</v>
      </c>
      <c r="C10" s="54" t="s">
        <v>616</v>
      </c>
      <c r="E10" s="53" t="s">
        <v>615</v>
      </c>
    </row>
    <row r="11" spans="1:5">
      <c r="A11" s="55" t="s">
        <v>509</v>
      </c>
      <c r="C11" s="54" t="s">
        <v>614</v>
      </c>
      <c r="E11" s="53" t="s">
        <v>613</v>
      </c>
    </row>
    <row r="12" spans="1:5">
      <c r="A12" s="55" t="s">
        <v>580</v>
      </c>
      <c r="C12" s="54" t="s">
        <v>612</v>
      </c>
      <c r="E12" s="53" t="s">
        <v>611</v>
      </c>
    </row>
    <row r="13" spans="1:5">
      <c r="A13" s="55" t="s">
        <v>581</v>
      </c>
      <c r="C13" s="54" t="s">
        <v>610</v>
      </c>
      <c r="E13" s="53" t="s">
        <v>609</v>
      </c>
    </row>
    <row r="14" spans="1:5">
      <c r="A14" s="55" t="s">
        <v>523</v>
      </c>
      <c r="C14" s="54" t="s">
        <v>608</v>
      </c>
      <c r="E14" s="53" t="s">
        <v>607</v>
      </c>
    </row>
    <row r="15" spans="1:5">
      <c r="A15" s="55" t="s">
        <v>525</v>
      </c>
      <c r="C15" s="54" t="s">
        <v>606</v>
      </c>
      <c r="E15" s="53" t="s">
        <v>605</v>
      </c>
    </row>
    <row r="16" spans="1:5">
      <c r="A16" s="55" t="s">
        <v>499</v>
      </c>
      <c r="C16" s="54" t="s">
        <v>604</v>
      </c>
    </row>
    <row r="17" spans="1:3">
      <c r="A17" s="55" t="s">
        <v>500</v>
      </c>
      <c r="C17" s="54" t="s">
        <v>603</v>
      </c>
    </row>
    <row r="18" spans="1:3">
      <c r="A18" s="55" t="s">
        <v>501</v>
      </c>
      <c r="C18" s="53" t="s">
        <v>348</v>
      </c>
    </row>
    <row r="19" spans="1:3">
      <c r="A19" s="55" t="s">
        <v>502</v>
      </c>
      <c r="C19" s="60" t="s">
        <v>646</v>
      </c>
    </row>
    <row r="20" spans="1:3">
      <c r="A20" s="55" t="s">
        <v>571</v>
      </c>
    </row>
    <row r="21" spans="1:3">
      <c r="A21" s="55" t="s">
        <v>534</v>
      </c>
    </row>
    <row r="22" spans="1:3">
      <c r="A22" s="55" t="s">
        <v>513</v>
      </c>
    </row>
    <row r="23" spans="1:3">
      <c r="A23" s="55" t="s">
        <v>514</v>
      </c>
    </row>
    <row r="24" spans="1:3">
      <c r="A24" s="55" t="s">
        <v>515</v>
      </c>
    </row>
    <row r="25" spans="1:3">
      <c r="A25" s="55" t="s">
        <v>516</v>
      </c>
      <c r="C25" s="53"/>
    </row>
    <row r="26" spans="1:3">
      <c r="A26" s="55" t="s">
        <v>535</v>
      </c>
      <c r="C26" s="53"/>
    </row>
    <row r="27" spans="1:3">
      <c r="A27" s="55" t="s">
        <v>541</v>
      </c>
      <c r="C27" s="53"/>
    </row>
    <row r="28" spans="1:3">
      <c r="A28" s="55" t="s">
        <v>582</v>
      </c>
      <c r="C28" s="53"/>
    </row>
    <row r="29" spans="1:3">
      <c r="A29" s="55" t="s">
        <v>540</v>
      </c>
      <c r="C29" s="53"/>
    </row>
    <row r="30" spans="1:3">
      <c r="A30" s="55" t="s">
        <v>518</v>
      </c>
      <c r="C30" s="53"/>
    </row>
    <row r="31" spans="1:3">
      <c r="A31" s="55" t="s">
        <v>519</v>
      </c>
      <c r="C31" s="53"/>
    </row>
    <row r="32" spans="1:3">
      <c r="A32" s="55" t="s">
        <v>521</v>
      </c>
      <c r="C32" s="53"/>
    </row>
    <row r="33" spans="1:3">
      <c r="A33" s="55" t="s">
        <v>522</v>
      </c>
      <c r="C33" s="53"/>
    </row>
    <row r="34" spans="1:3">
      <c r="A34" s="55" t="s">
        <v>563</v>
      </c>
      <c r="C34" s="53"/>
    </row>
    <row r="35" spans="1:3">
      <c r="A35" s="55" t="s">
        <v>564</v>
      </c>
      <c r="C35" s="53"/>
    </row>
    <row r="36" spans="1:3">
      <c r="A36" s="55" t="s">
        <v>583</v>
      </c>
      <c r="C36" s="53"/>
    </row>
    <row r="37" spans="1:3">
      <c r="A37" s="55" t="s">
        <v>584</v>
      </c>
      <c r="C37" s="53"/>
    </row>
    <row r="38" spans="1:3">
      <c r="A38" s="55" t="s">
        <v>573</v>
      </c>
      <c r="C38" s="53"/>
    </row>
    <row r="39" spans="1:3">
      <c r="A39" s="55" t="s">
        <v>575</v>
      </c>
      <c r="C39" s="53"/>
    </row>
    <row r="40" spans="1:3">
      <c r="A40" s="55" t="s">
        <v>554</v>
      </c>
      <c r="C40" s="53"/>
    </row>
    <row r="41" spans="1:3">
      <c r="A41" s="55" t="s">
        <v>555</v>
      </c>
      <c r="C41" s="53"/>
    </row>
    <row r="42" spans="1:3">
      <c r="A42" s="55" t="s">
        <v>525</v>
      </c>
      <c r="C42" s="53"/>
    </row>
    <row r="43" spans="1:3">
      <c r="A43" s="55" t="s">
        <v>588</v>
      </c>
      <c r="C43" s="53"/>
    </row>
    <row r="44" spans="1:3">
      <c r="A44" s="55" t="s">
        <v>587</v>
      </c>
      <c r="C44" s="53"/>
    </row>
    <row r="45" spans="1:3">
      <c r="A45" s="55" t="s">
        <v>590</v>
      </c>
    </row>
    <row r="46" spans="1:3">
      <c r="A46" s="55" t="s">
        <v>602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4"/>
  <dimension ref="A1:C43"/>
  <sheetViews>
    <sheetView workbookViewId="0">
      <selection activeCell="E21" sqref="E21"/>
    </sheetView>
  </sheetViews>
  <sheetFormatPr defaultRowHeight="15"/>
  <cols>
    <col min="1" max="1" width="44.28515625" style="95" bestFit="1" customWidth="1"/>
    <col min="2" max="2" width="23.5703125" style="17" bestFit="1" customWidth="1"/>
    <col min="3" max="3" width="44.28515625" style="96" bestFit="1" customWidth="1"/>
    <col min="4" max="16384" width="9.140625" style="17"/>
  </cols>
  <sheetData>
    <row r="1" spans="1:3">
      <c r="A1" s="17" t="s">
        <v>793</v>
      </c>
      <c r="B1" s="81" t="s">
        <v>729</v>
      </c>
      <c r="C1" s="17" t="s">
        <v>730</v>
      </c>
    </row>
    <row r="2" spans="1:3">
      <c r="A2" s="17"/>
      <c r="B2" s="17" t="s">
        <v>728</v>
      </c>
      <c r="C2" s="17" t="s">
        <v>731</v>
      </c>
    </row>
    <row r="3" spans="1:3" s="96" customFormat="1">
      <c r="A3" s="95"/>
    </row>
    <row r="4" spans="1:3">
      <c r="A4" s="69" t="s">
        <v>721</v>
      </c>
      <c r="C4" s="17"/>
    </row>
    <row r="5" spans="1:3">
      <c r="A5" s="17"/>
      <c r="C5" s="17"/>
    </row>
    <row r="6" spans="1:3">
      <c r="A6" s="69" t="s">
        <v>724</v>
      </c>
      <c r="C6" s="17"/>
    </row>
    <row r="7" spans="1:3">
      <c r="A7" s="17"/>
      <c r="C7" s="17"/>
    </row>
    <row r="8" spans="1:3">
      <c r="A8" s="69" t="s">
        <v>722</v>
      </c>
      <c r="C8" s="17"/>
    </row>
    <row r="9" spans="1:3">
      <c r="A9" s="69" t="s">
        <v>723</v>
      </c>
      <c r="C9" s="17"/>
    </row>
    <row r="10" spans="1:3">
      <c r="A10" s="17"/>
      <c r="C10" s="17"/>
    </row>
    <row r="11" spans="1:3">
      <c r="A11" s="17"/>
      <c r="C11" s="17"/>
    </row>
    <row r="12" spans="1:3">
      <c r="A12" s="17" t="s">
        <v>727</v>
      </c>
      <c r="C12" s="17"/>
    </row>
    <row r="13" spans="1:3">
      <c r="A13" s="17" t="s">
        <v>725</v>
      </c>
      <c r="C13" s="17"/>
    </row>
    <row r="14" spans="1:3" s="96" customFormat="1">
      <c r="A14" s="96" t="s">
        <v>726</v>
      </c>
    </row>
    <row r="15" spans="1:3">
      <c r="A15" s="17"/>
      <c r="C15" s="17"/>
    </row>
    <row r="16" spans="1:3">
      <c r="A16" s="17"/>
      <c r="C16" s="17"/>
    </row>
    <row r="17" spans="1:3">
      <c r="A17" s="17"/>
      <c r="C17" s="17"/>
    </row>
    <row r="18" spans="1:3">
      <c r="A18" s="17"/>
      <c r="C18" s="17"/>
    </row>
    <row r="19" spans="1:3">
      <c r="A19" s="17"/>
      <c r="C19" s="17"/>
    </row>
    <row r="20" spans="1:3">
      <c r="A20" s="17"/>
      <c r="C20" s="17"/>
    </row>
    <row r="21" spans="1:3" s="96" customFormat="1"/>
    <row r="22" spans="1:3">
      <c r="A22" s="17"/>
      <c r="C22" s="17"/>
    </row>
    <row r="23" spans="1:3">
      <c r="A23" s="17"/>
      <c r="C23" s="17"/>
    </row>
    <row r="24" spans="1:3">
      <c r="A24" s="17"/>
      <c r="C24" s="17"/>
    </row>
    <row r="25" spans="1:3">
      <c r="A25" s="17"/>
      <c r="C25" s="17"/>
    </row>
    <row r="26" spans="1:3">
      <c r="A26" s="17"/>
      <c r="C26" s="17"/>
    </row>
    <row r="27" spans="1:3">
      <c r="A27" s="17"/>
      <c r="C27" s="17"/>
    </row>
    <row r="28" spans="1:3">
      <c r="A28" s="17"/>
      <c r="C28" s="17"/>
    </row>
    <row r="29" spans="1:3">
      <c r="A29" s="17"/>
      <c r="C29" s="17"/>
    </row>
    <row r="30" spans="1:3">
      <c r="A30" s="17"/>
      <c r="C30" s="17"/>
    </row>
    <row r="31" spans="1:3">
      <c r="A31" s="17"/>
      <c r="C31" s="17"/>
    </row>
    <row r="32" spans="1:3">
      <c r="A32" s="17"/>
      <c r="C32" s="17"/>
    </row>
    <row r="33" spans="1:3">
      <c r="A33" s="17"/>
      <c r="C33" s="17"/>
    </row>
    <row r="34" spans="1:3">
      <c r="A34" s="17"/>
      <c r="C34" s="17"/>
    </row>
    <row r="35" spans="1:3">
      <c r="A35" s="17"/>
      <c r="C35" s="17"/>
    </row>
    <row r="36" spans="1:3">
      <c r="A36" s="17"/>
      <c r="C36" s="17"/>
    </row>
    <row r="37" spans="1:3">
      <c r="A37" s="17"/>
      <c r="C37" s="17"/>
    </row>
    <row r="38" spans="1:3">
      <c r="A38" s="17"/>
      <c r="C38" s="17"/>
    </row>
    <row r="39" spans="1:3">
      <c r="A39" s="17"/>
      <c r="C39" s="17"/>
    </row>
    <row r="40" spans="1:3">
      <c r="A40" s="17"/>
      <c r="C40" s="17"/>
    </row>
    <row r="41" spans="1:3">
      <c r="A41" s="17"/>
      <c r="C41" s="17"/>
    </row>
    <row r="42" spans="1:3">
      <c r="A42" s="17"/>
      <c r="C42" s="17"/>
    </row>
    <row r="43" spans="1:3">
      <c r="A43" s="17"/>
      <c r="C43" s="17"/>
    </row>
  </sheetData>
  <dataConsolidate/>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Forma1bandymas1">
                <anchor moveWithCells="1" sizeWithCells="1">
                  <from>
                    <xdr:col>2</xdr:col>
                    <xdr:colOff>647700</xdr:colOff>
                    <xdr:row>8</xdr:row>
                    <xdr:rowOff>0</xdr:rowOff>
                  </from>
                  <to>
                    <xdr:col>2</xdr:col>
                    <xdr:colOff>2324100</xdr:colOff>
                    <xdr:row>14</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8"/>
  <dimension ref="A1:H20"/>
  <sheetViews>
    <sheetView workbookViewId="0">
      <selection sqref="A1:C2 E1 E5 E20 B2"/>
    </sheetView>
  </sheetViews>
  <sheetFormatPr defaultRowHeight="15"/>
  <cols>
    <col min="3" max="3" width="5.42578125" style="93" customWidth="1"/>
    <col min="8" max="8" width="19.5703125" customWidth="1"/>
  </cols>
  <sheetData>
    <row r="1" spans="1:8">
      <c r="A1">
        <v>9</v>
      </c>
      <c r="B1">
        <v>9</v>
      </c>
      <c r="C1" s="93">
        <v>9</v>
      </c>
      <c r="E1">
        <v>9</v>
      </c>
    </row>
    <row r="2" spans="1:8">
      <c r="A2">
        <v>9</v>
      </c>
      <c r="B2">
        <v>9</v>
      </c>
      <c r="C2" s="93">
        <v>9</v>
      </c>
    </row>
    <row r="5" spans="1:8">
      <c r="E5">
        <v>9</v>
      </c>
    </row>
    <row r="12" spans="1:8">
      <c r="E12">
        <f>C12</f>
        <v>0</v>
      </c>
      <c r="H12" t="s">
        <v>785</v>
      </c>
    </row>
    <row r="13" spans="1:8">
      <c r="H13" t="s">
        <v>786</v>
      </c>
    </row>
    <row r="20" spans="5:5">
      <c r="E20">
        <v>9</v>
      </c>
    </row>
  </sheetData>
  <conditionalFormatting sqref="I7:Q23">
    <cfRule type="expression" dxfId="4" priority="1">
      <formula>MOD(COLUMN(),2)=MOD(ROW(),2)</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ygtukas1_Spustelėti">
                <anchor moveWithCells="1" sizeWithCells="1">
                  <from>
                    <xdr:col>6</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4608" r:id="rId5" name="Option Button 32">
              <controlPr defaultSize="0" autoFill="0" autoLine="0" autoPict="0">
                <anchor moveWithCells="1">
                  <from>
                    <xdr:col>9</xdr:col>
                    <xdr:colOff>209550</xdr:colOff>
                    <xdr:row>1</xdr:row>
                    <xdr:rowOff>85725</xdr:rowOff>
                  </from>
                  <to>
                    <xdr:col>12</xdr:col>
                    <xdr:colOff>38100</xdr:colOff>
                    <xdr:row>6</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9"/>
  <dimension ref="A1:C5"/>
  <sheetViews>
    <sheetView workbookViewId="0">
      <selection activeCell="G4" sqref="G4"/>
    </sheetView>
  </sheetViews>
  <sheetFormatPr defaultRowHeight="15"/>
  <cols>
    <col min="3" max="3" width="17.42578125" customWidth="1"/>
    <col min="4" max="4" width="16.5703125" customWidth="1"/>
    <col min="5" max="5" width="6.140625" customWidth="1"/>
  </cols>
  <sheetData>
    <row r="1" spans="1:3">
      <c r="A1" t="s">
        <v>787</v>
      </c>
    </row>
    <row r="5" spans="1:3" ht="30" customHeight="1">
      <c r="C5" s="102">
        <v>29970</v>
      </c>
    </row>
  </sheetData>
  <pageMargins left="0.7" right="0.7" top="0.75" bottom="0.75" header="0.3" footer="0.3"/>
  <drawing r:id="rId1"/>
  <legacyDrawing r:id="rId2"/>
  <controls>
    <mc:AlternateContent xmlns:mc="http://schemas.openxmlformats.org/markup-compatibility/2006">
      <mc:Choice Requires="x14">
        <control shapeId="27662" r:id="rId3" name="SpinButton1">
          <controlPr defaultSize="0" autoLine="0" r:id="rId4">
            <anchor moveWithCells="1" sizeWithCells="1">
              <from>
                <xdr:col>7</xdr:col>
                <xdr:colOff>257175</xdr:colOff>
                <xdr:row>3</xdr:row>
                <xdr:rowOff>171450</xdr:rowOff>
              </from>
              <to>
                <xdr:col>10</xdr:col>
                <xdr:colOff>76200</xdr:colOff>
                <xdr:row>5</xdr:row>
                <xdr:rowOff>0</xdr:rowOff>
              </to>
            </anchor>
          </controlPr>
        </control>
      </mc:Choice>
      <mc:Fallback>
        <control shapeId="27662" r:id="rId3" name="SpinButton1"/>
      </mc:Fallback>
    </mc:AlternateContent>
    <mc:AlternateContent xmlns:mc="http://schemas.openxmlformats.org/markup-compatibility/2006">
      <mc:Choice Requires="x14">
        <control shapeId="27649" r:id="rId5" name="Spinner 1">
          <controlPr defaultSize="0" autoPict="0">
            <anchor moveWithCells="1" siz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27661" r:id="rId6" name="Button 13">
          <controlPr defaultSize="0" print="0" autoFill="0" autoPict="0" macro="[0]!DataPliusMinus">
            <anchor moveWithCells="1" sizeWithCells="1">
              <from>
                <xdr:col>2</xdr:col>
                <xdr:colOff>581025</xdr:colOff>
                <xdr:row>0</xdr:row>
                <xdr:rowOff>57150</xdr:rowOff>
              </from>
              <to>
                <xdr:col>4</xdr:col>
                <xdr:colOff>276225</xdr:colOff>
                <xdr:row>2</xdr:row>
                <xdr:rowOff>76200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pas3"/>
  <dimension ref="A3:D103"/>
  <sheetViews>
    <sheetView zoomScale="85" zoomScaleNormal="85" workbookViewId="0">
      <pane ySplit="1" topLeftCell="A79" activePane="bottomLeft" state="frozen"/>
      <selection pane="bottomLeft" activeCell="D103" sqref="D103"/>
    </sheetView>
  </sheetViews>
  <sheetFormatPr defaultColWidth="9" defaultRowHeight="15"/>
  <cols>
    <col min="1" max="2" width="10.5703125" style="74" bestFit="1" customWidth="1"/>
    <col min="3" max="3" width="36.42578125" style="74" bestFit="1" customWidth="1"/>
    <col min="4" max="4" width="58.140625" style="74" customWidth="1"/>
    <col min="5" max="16384" width="9" style="74"/>
  </cols>
  <sheetData>
    <row r="3" spans="1:4">
      <c r="A3" s="74" t="s">
        <v>693</v>
      </c>
      <c r="B3" s="74" t="s">
        <v>694</v>
      </c>
      <c r="C3" s="74" t="s">
        <v>713</v>
      </c>
      <c r="D3" s="74" t="s">
        <v>712</v>
      </c>
    </row>
    <row r="4" spans="1:4">
      <c r="A4" s="75">
        <f t="shared" ref="A4:A35" si="0">ROW()-3</f>
        <v>1</v>
      </c>
      <c r="C4" s="75">
        <f t="shared" ref="C4:C35" si="1">C3*2</f>
        <v>2</v>
      </c>
    </row>
    <row r="5" spans="1:4">
      <c r="A5" s="75">
        <f t="shared" si="0"/>
        <v>2</v>
      </c>
      <c r="C5" s="75">
        <f t="shared" si="1"/>
        <v>4</v>
      </c>
    </row>
    <row r="6" spans="1:4">
      <c r="A6" s="75">
        <f t="shared" si="0"/>
        <v>3</v>
      </c>
      <c r="C6" s="75">
        <f t="shared" si="1"/>
        <v>8</v>
      </c>
    </row>
    <row r="7" spans="1:4">
      <c r="A7" s="75">
        <f t="shared" si="0"/>
        <v>4</v>
      </c>
      <c r="C7" s="75">
        <f t="shared" si="1"/>
        <v>16</v>
      </c>
    </row>
    <row r="8" spans="1:4">
      <c r="A8" s="75">
        <f t="shared" si="0"/>
        <v>5</v>
      </c>
      <c r="C8" s="75">
        <f t="shared" si="1"/>
        <v>32</v>
      </c>
    </row>
    <row r="9" spans="1:4">
      <c r="A9" s="75">
        <f t="shared" si="0"/>
        <v>6</v>
      </c>
      <c r="C9" s="75">
        <f t="shared" si="1"/>
        <v>64</v>
      </c>
    </row>
    <row r="10" spans="1:4">
      <c r="A10" s="75">
        <f t="shared" si="0"/>
        <v>7</v>
      </c>
      <c r="C10" s="75">
        <f t="shared" si="1"/>
        <v>128</v>
      </c>
    </row>
    <row r="11" spans="1:4">
      <c r="A11" s="75">
        <f t="shared" si="0"/>
        <v>8</v>
      </c>
      <c r="C11" s="75">
        <f t="shared" si="1"/>
        <v>256</v>
      </c>
    </row>
    <row r="12" spans="1:4">
      <c r="A12" s="75">
        <f t="shared" si="0"/>
        <v>9</v>
      </c>
      <c r="C12" s="75">
        <f t="shared" si="1"/>
        <v>512</v>
      </c>
    </row>
    <row r="13" spans="1:4" ht="18">
      <c r="A13" s="75">
        <f t="shared" si="0"/>
        <v>10</v>
      </c>
      <c r="B13" s="74" t="s">
        <v>711</v>
      </c>
      <c r="C13" s="75">
        <f t="shared" si="1"/>
        <v>1024</v>
      </c>
      <c r="D13" s="77" t="s">
        <v>710</v>
      </c>
    </row>
    <row r="14" spans="1:4">
      <c r="A14" s="75">
        <f t="shared" si="0"/>
        <v>11</v>
      </c>
      <c r="B14" s="76"/>
      <c r="C14" s="75">
        <f t="shared" si="1"/>
        <v>2048</v>
      </c>
    </row>
    <row r="15" spans="1:4">
      <c r="A15" s="75">
        <f t="shared" si="0"/>
        <v>12</v>
      </c>
      <c r="B15" s="76"/>
      <c r="C15" s="75">
        <f t="shared" si="1"/>
        <v>4096</v>
      </c>
    </row>
    <row r="16" spans="1:4">
      <c r="A16" s="75">
        <f t="shared" si="0"/>
        <v>13</v>
      </c>
      <c r="B16" s="76"/>
      <c r="C16" s="75">
        <f t="shared" si="1"/>
        <v>8192</v>
      </c>
    </row>
    <row r="17" spans="1:4">
      <c r="A17" s="75">
        <f t="shared" si="0"/>
        <v>14</v>
      </c>
      <c r="B17" s="76"/>
      <c r="C17" s="75">
        <f t="shared" si="1"/>
        <v>16384</v>
      </c>
    </row>
    <row r="18" spans="1:4">
      <c r="A18" s="75">
        <f t="shared" si="0"/>
        <v>15</v>
      </c>
      <c r="B18" s="76"/>
      <c r="C18" s="75">
        <f t="shared" si="1"/>
        <v>32768</v>
      </c>
    </row>
    <row r="19" spans="1:4">
      <c r="A19" s="75">
        <f t="shared" si="0"/>
        <v>16</v>
      </c>
      <c r="B19" s="76"/>
      <c r="C19" s="75">
        <f t="shared" si="1"/>
        <v>65536</v>
      </c>
    </row>
    <row r="20" spans="1:4">
      <c r="A20" s="75">
        <f t="shared" si="0"/>
        <v>17</v>
      </c>
      <c r="B20" s="76"/>
      <c r="C20" s="75">
        <f t="shared" si="1"/>
        <v>131072</v>
      </c>
    </row>
    <row r="21" spans="1:4">
      <c r="A21" s="75">
        <f t="shared" si="0"/>
        <v>18</v>
      </c>
      <c r="B21" s="76"/>
      <c r="C21" s="75">
        <f t="shared" si="1"/>
        <v>262144</v>
      </c>
    </row>
    <row r="22" spans="1:4">
      <c r="A22" s="75">
        <f t="shared" si="0"/>
        <v>19</v>
      </c>
      <c r="B22" s="76"/>
      <c r="C22" s="75">
        <f t="shared" si="1"/>
        <v>524288</v>
      </c>
    </row>
    <row r="23" spans="1:4" ht="18">
      <c r="A23" s="75">
        <f t="shared" si="0"/>
        <v>20</v>
      </c>
      <c r="B23" s="76" t="s">
        <v>709</v>
      </c>
      <c r="C23" s="75">
        <f t="shared" si="1"/>
        <v>1048576</v>
      </c>
      <c r="D23" s="77" t="s">
        <v>708</v>
      </c>
    </row>
    <row r="24" spans="1:4">
      <c r="A24" s="75">
        <f t="shared" si="0"/>
        <v>21</v>
      </c>
      <c r="B24" s="76"/>
      <c r="C24" s="75">
        <f t="shared" si="1"/>
        <v>2097152</v>
      </c>
    </row>
    <row r="25" spans="1:4">
      <c r="A25" s="75">
        <f t="shared" si="0"/>
        <v>22</v>
      </c>
      <c r="B25" s="76"/>
      <c r="C25" s="75">
        <f t="shared" si="1"/>
        <v>4194304</v>
      </c>
    </row>
    <row r="26" spans="1:4">
      <c r="A26" s="75">
        <f t="shared" si="0"/>
        <v>23</v>
      </c>
      <c r="B26" s="76"/>
      <c r="C26" s="75">
        <f t="shared" si="1"/>
        <v>8388608</v>
      </c>
    </row>
    <row r="27" spans="1:4">
      <c r="A27" s="75">
        <f t="shared" si="0"/>
        <v>24</v>
      </c>
      <c r="B27" s="76"/>
      <c r="C27" s="75">
        <f t="shared" si="1"/>
        <v>16777216</v>
      </c>
    </row>
    <row r="28" spans="1:4">
      <c r="A28" s="75">
        <f t="shared" si="0"/>
        <v>25</v>
      </c>
      <c r="B28" s="76"/>
      <c r="C28" s="75">
        <f t="shared" si="1"/>
        <v>33554432</v>
      </c>
    </row>
    <row r="29" spans="1:4">
      <c r="A29" s="75">
        <f t="shared" si="0"/>
        <v>26</v>
      </c>
      <c r="B29" s="76"/>
      <c r="C29" s="75">
        <f t="shared" si="1"/>
        <v>67108864</v>
      </c>
    </row>
    <row r="30" spans="1:4">
      <c r="A30" s="75">
        <f t="shared" si="0"/>
        <v>27</v>
      </c>
      <c r="B30" s="76"/>
      <c r="C30" s="75">
        <f t="shared" si="1"/>
        <v>134217728</v>
      </c>
    </row>
    <row r="31" spans="1:4">
      <c r="A31" s="75">
        <f t="shared" si="0"/>
        <v>28</v>
      </c>
      <c r="B31" s="76"/>
      <c r="C31" s="75">
        <f t="shared" si="1"/>
        <v>268435456</v>
      </c>
    </row>
    <row r="32" spans="1:4">
      <c r="A32" s="75">
        <f t="shared" si="0"/>
        <v>29</v>
      </c>
      <c r="B32" s="76"/>
      <c r="C32" s="75">
        <f t="shared" si="1"/>
        <v>536870912</v>
      </c>
    </row>
    <row r="33" spans="1:4" ht="18">
      <c r="A33" s="75">
        <f t="shared" si="0"/>
        <v>30</v>
      </c>
      <c r="B33" s="76" t="s">
        <v>707</v>
      </c>
      <c r="C33" s="75">
        <f t="shared" si="1"/>
        <v>1073741824</v>
      </c>
      <c r="D33" s="77" t="s">
        <v>706</v>
      </c>
    </row>
    <row r="34" spans="1:4">
      <c r="A34" s="75">
        <f t="shared" si="0"/>
        <v>31</v>
      </c>
      <c r="B34" s="76"/>
      <c r="C34" s="75">
        <f t="shared" si="1"/>
        <v>2147483648</v>
      </c>
    </row>
    <row r="35" spans="1:4">
      <c r="A35" s="75">
        <f t="shared" si="0"/>
        <v>32</v>
      </c>
      <c r="B35" s="76"/>
      <c r="C35" s="75">
        <f t="shared" si="1"/>
        <v>4294967296</v>
      </c>
    </row>
    <row r="36" spans="1:4">
      <c r="A36" s="75">
        <f t="shared" ref="A36:A67" si="2">ROW()-3</f>
        <v>33</v>
      </c>
      <c r="B36" s="76"/>
      <c r="C36" s="75">
        <f t="shared" ref="C36:C67" si="3">C35*2</f>
        <v>8589934592</v>
      </c>
    </row>
    <row r="37" spans="1:4">
      <c r="A37" s="75">
        <f t="shared" si="2"/>
        <v>34</v>
      </c>
      <c r="B37" s="76"/>
      <c r="C37" s="75">
        <f t="shared" si="3"/>
        <v>17179869184</v>
      </c>
    </row>
    <row r="38" spans="1:4">
      <c r="A38" s="75">
        <f t="shared" si="2"/>
        <v>35</v>
      </c>
      <c r="B38" s="76"/>
      <c r="C38" s="75">
        <f t="shared" si="3"/>
        <v>34359738368</v>
      </c>
    </row>
    <row r="39" spans="1:4">
      <c r="A39" s="75">
        <f t="shared" si="2"/>
        <v>36</v>
      </c>
      <c r="B39" s="76"/>
      <c r="C39" s="75">
        <f t="shared" si="3"/>
        <v>68719476736</v>
      </c>
    </row>
    <row r="40" spans="1:4">
      <c r="A40" s="75">
        <f t="shared" si="2"/>
        <v>37</v>
      </c>
      <c r="B40" s="76"/>
      <c r="C40" s="75">
        <f t="shared" si="3"/>
        <v>137438953472</v>
      </c>
    </row>
    <row r="41" spans="1:4">
      <c r="A41" s="75">
        <f t="shared" si="2"/>
        <v>38</v>
      </c>
      <c r="B41" s="76"/>
      <c r="C41" s="75">
        <f t="shared" si="3"/>
        <v>274877906944</v>
      </c>
    </row>
    <row r="42" spans="1:4">
      <c r="A42" s="75">
        <f t="shared" si="2"/>
        <v>39</v>
      </c>
      <c r="B42" s="76"/>
      <c r="C42" s="75">
        <f t="shared" si="3"/>
        <v>549755813888</v>
      </c>
    </row>
    <row r="43" spans="1:4" ht="18">
      <c r="A43" s="75">
        <f t="shared" si="2"/>
        <v>40</v>
      </c>
      <c r="B43" s="76" t="s">
        <v>705</v>
      </c>
      <c r="C43" s="75">
        <f t="shared" si="3"/>
        <v>1099511627776</v>
      </c>
      <c r="D43" s="77" t="s">
        <v>704</v>
      </c>
    </row>
    <row r="44" spans="1:4">
      <c r="A44" s="75">
        <f t="shared" si="2"/>
        <v>41</v>
      </c>
      <c r="B44" s="76"/>
      <c r="C44" s="75">
        <f t="shared" si="3"/>
        <v>2199023255552</v>
      </c>
    </row>
    <row r="45" spans="1:4">
      <c r="A45" s="75">
        <f t="shared" si="2"/>
        <v>42</v>
      </c>
      <c r="B45" s="76"/>
      <c r="C45" s="75">
        <f t="shared" si="3"/>
        <v>4398046511104</v>
      </c>
    </row>
    <row r="46" spans="1:4">
      <c r="A46" s="75">
        <f t="shared" si="2"/>
        <v>43</v>
      </c>
      <c r="B46" s="76"/>
      <c r="C46" s="75">
        <f t="shared" si="3"/>
        <v>8796093022208</v>
      </c>
    </row>
    <row r="47" spans="1:4">
      <c r="A47" s="75">
        <f t="shared" si="2"/>
        <v>44</v>
      </c>
      <c r="B47" s="76"/>
      <c r="C47" s="75">
        <f t="shared" si="3"/>
        <v>17592186044416</v>
      </c>
    </row>
    <row r="48" spans="1:4">
      <c r="A48" s="75">
        <f t="shared" si="2"/>
        <v>45</v>
      </c>
      <c r="B48" s="76"/>
      <c r="C48" s="75">
        <f t="shared" si="3"/>
        <v>35184372088832</v>
      </c>
    </row>
    <row r="49" spans="1:4">
      <c r="A49" s="75">
        <f t="shared" si="2"/>
        <v>46</v>
      </c>
      <c r="B49" s="76"/>
      <c r="C49" s="75">
        <f t="shared" si="3"/>
        <v>70368744177664</v>
      </c>
    </row>
    <row r="50" spans="1:4">
      <c r="A50" s="75">
        <f t="shared" si="2"/>
        <v>47</v>
      </c>
      <c r="B50" s="76"/>
      <c r="C50" s="75">
        <f t="shared" si="3"/>
        <v>140737488355328</v>
      </c>
    </row>
    <row r="51" spans="1:4">
      <c r="A51" s="75">
        <f t="shared" si="2"/>
        <v>48</v>
      </c>
      <c r="B51" s="76"/>
      <c r="C51" s="75">
        <f t="shared" si="3"/>
        <v>281474976710656</v>
      </c>
    </row>
    <row r="52" spans="1:4">
      <c r="A52" s="75">
        <f t="shared" si="2"/>
        <v>49</v>
      </c>
      <c r="B52" s="76"/>
      <c r="C52" s="75">
        <f t="shared" si="3"/>
        <v>562949953421312</v>
      </c>
    </row>
    <row r="53" spans="1:4" ht="18">
      <c r="A53" s="75">
        <f t="shared" si="2"/>
        <v>50</v>
      </c>
      <c r="B53" s="76" t="s">
        <v>703</v>
      </c>
      <c r="C53" s="75">
        <f t="shared" si="3"/>
        <v>1125899906842624</v>
      </c>
      <c r="D53" s="77" t="s">
        <v>702</v>
      </c>
    </row>
    <row r="54" spans="1:4">
      <c r="A54" s="75">
        <f t="shared" si="2"/>
        <v>51</v>
      </c>
      <c r="B54" s="76"/>
      <c r="C54" s="75">
        <f t="shared" si="3"/>
        <v>2251799813685248</v>
      </c>
    </row>
    <row r="55" spans="1:4">
      <c r="A55" s="75">
        <f t="shared" si="2"/>
        <v>52</v>
      </c>
      <c r="B55" s="76"/>
      <c r="C55" s="75">
        <f t="shared" si="3"/>
        <v>4503599627370496</v>
      </c>
    </row>
    <row r="56" spans="1:4">
      <c r="A56" s="75">
        <f t="shared" si="2"/>
        <v>53</v>
      </c>
      <c r="B56" s="76"/>
      <c r="C56" s="75">
        <f t="shared" si="3"/>
        <v>9007199254740992</v>
      </c>
    </row>
    <row r="57" spans="1:4">
      <c r="A57" s="75">
        <f t="shared" si="2"/>
        <v>54</v>
      </c>
      <c r="B57" s="76"/>
      <c r="C57" s="75">
        <f t="shared" si="3"/>
        <v>1.8014398509481984E+16</v>
      </c>
    </row>
    <row r="58" spans="1:4">
      <c r="A58" s="75">
        <f t="shared" si="2"/>
        <v>55</v>
      </c>
      <c r="B58" s="76"/>
      <c r="C58" s="75">
        <f t="shared" si="3"/>
        <v>3.6028797018963968E+16</v>
      </c>
    </row>
    <row r="59" spans="1:4">
      <c r="A59" s="75">
        <f t="shared" si="2"/>
        <v>56</v>
      </c>
      <c r="B59" s="76"/>
      <c r="C59" s="75">
        <f t="shared" si="3"/>
        <v>7.2057594037927936E+16</v>
      </c>
    </row>
    <row r="60" spans="1:4">
      <c r="A60" s="75">
        <f t="shared" si="2"/>
        <v>57</v>
      </c>
      <c r="B60" s="76"/>
      <c r="C60" s="75">
        <f t="shared" si="3"/>
        <v>1.4411518807585587E+17</v>
      </c>
    </row>
    <row r="61" spans="1:4">
      <c r="A61" s="75">
        <f t="shared" si="2"/>
        <v>58</v>
      </c>
      <c r="B61" s="76"/>
      <c r="C61" s="75">
        <f t="shared" si="3"/>
        <v>2.8823037615171174E+17</v>
      </c>
    </row>
    <row r="62" spans="1:4">
      <c r="A62" s="75">
        <f t="shared" si="2"/>
        <v>59</v>
      </c>
      <c r="B62" s="76"/>
      <c r="C62" s="75">
        <f t="shared" si="3"/>
        <v>5.7646075230342349E+17</v>
      </c>
    </row>
    <row r="63" spans="1:4" ht="18">
      <c r="A63" s="75">
        <f t="shared" si="2"/>
        <v>60</v>
      </c>
      <c r="B63" s="76" t="s">
        <v>701</v>
      </c>
      <c r="C63" s="75">
        <f t="shared" si="3"/>
        <v>1.152921504606847E+18</v>
      </c>
      <c r="D63" s="77" t="s">
        <v>700</v>
      </c>
    </row>
    <row r="64" spans="1:4">
      <c r="A64" s="75">
        <f t="shared" si="2"/>
        <v>61</v>
      </c>
      <c r="B64" s="76"/>
      <c r="C64" s="75">
        <f t="shared" si="3"/>
        <v>2.305843009213694E+18</v>
      </c>
    </row>
    <row r="65" spans="1:4">
      <c r="A65" s="75">
        <f t="shared" si="2"/>
        <v>62</v>
      </c>
      <c r="B65" s="76"/>
      <c r="C65" s="75">
        <f t="shared" si="3"/>
        <v>4.6116860184273879E+18</v>
      </c>
    </row>
    <row r="66" spans="1:4">
      <c r="A66" s="75">
        <f t="shared" si="2"/>
        <v>63</v>
      </c>
      <c r="B66" s="76"/>
      <c r="C66" s="75">
        <f t="shared" si="3"/>
        <v>9.2233720368547758E+18</v>
      </c>
    </row>
    <row r="67" spans="1:4">
      <c r="A67" s="75">
        <f t="shared" si="2"/>
        <v>64</v>
      </c>
      <c r="B67" s="76"/>
      <c r="C67" s="75">
        <f t="shared" si="3"/>
        <v>1.8446744073709552E+19</v>
      </c>
    </row>
    <row r="68" spans="1:4">
      <c r="A68" s="75">
        <f t="shared" ref="A68:A103" si="4">ROW()-3</f>
        <v>65</v>
      </c>
      <c r="B68" s="76"/>
      <c r="C68" s="75">
        <f t="shared" ref="C68:C103" si="5">C67*2</f>
        <v>3.6893488147419103E+19</v>
      </c>
    </row>
    <row r="69" spans="1:4">
      <c r="A69" s="75">
        <f t="shared" si="4"/>
        <v>66</v>
      </c>
      <c r="B69" s="76"/>
      <c r="C69" s="75">
        <f t="shared" si="5"/>
        <v>7.3786976294838206E+19</v>
      </c>
    </row>
    <row r="70" spans="1:4">
      <c r="A70" s="75">
        <f t="shared" si="4"/>
        <v>67</v>
      </c>
      <c r="B70" s="76"/>
      <c r="C70" s="75">
        <f t="shared" si="5"/>
        <v>1.4757395258967641E+20</v>
      </c>
    </row>
    <row r="71" spans="1:4">
      <c r="A71" s="75">
        <f t="shared" si="4"/>
        <v>68</v>
      </c>
      <c r="B71" s="76"/>
      <c r="C71" s="75">
        <f t="shared" si="5"/>
        <v>2.9514790517935283E+20</v>
      </c>
    </row>
    <row r="72" spans="1:4">
      <c r="A72" s="75">
        <f t="shared" si="4"/>
        <v>69</v>
      </c>
      <c r="B72" s="76"/>
      <c r="C72" s="75">
        <f t="shared" si="5"/>
        <v>5.9029581035870565E+20</v>
      </c>
    </row>
    <row r="73" spans="1:4" ht="18">
      <c r="A73" s="75">
        <f t="shared" si="4"/>
        <v>70</v>
      </c>
      <c r="B73" s="76" t="s">
        <v>699</v>
      </c>
      <c r="C73" s="75">
        <f t="shared" si="5"/>
        <v>1.1805916207174113E+21</v>
      </c>
      <c r="D73" s="77" t="s">
        <v>698</v>
      </c>
    </row>
    <row r="74" spans="1:4">
      <c r="A74" s="75">
        <f t="shared" si="4"/>
        <v>71</v>
      </c>
      <c r="B74" s="76"/>
      <c r="C74" s="75">
        <f t="shared" si="5"/>
        <v>2.3611832414348226E+21</v>
      </c>
    </row>
    <row r="75" spans="1:4">
      <c r="A75" s="75">
        <f t="shared" si="4"/>
        <v>72</v>
      </c>
      <c r="B75" s="76"/>
      <c r="C75" s="75">
        <f t="shared" si="5"/>
        <v>4.7223664828696452E+21</v>
      </c>
    </row>
    <row r="76" spans="1:4">
      <c r="A76" s="75">
        <f t="shared" si="4"/>
        <v>73</v>
      </c>
      <c r="B76" s="76"/>
      <c r="C76" s="75">
        <f t="shared" si="5"/>
        <v>9.4447329657392904E+21</v>
      </c>
    </row>
    <row r="77" spans="1:4">
      <c r="A77" s="75">
        <f t="shared" si="4"/>
        <v>74</v>
      </c>
      <c r="B77" s="76"/>
      <c r="C77" s="75">
        <f t="shared" si="5"/>
        <v>1.8889465931478581E+22</v>
      </c>
    </row>
    <row r="78" spans="1:4">
      <c r="A78" s="75">
        <f t="shared" si="4"/>
        <v>75</v>
      </c>
      <c r="B78" s="76"/>
      <c r="C78" s="75">
        <f t="shared" si="5"/>
        <v>3.7778931862957162E+22</v>
      </c>
    </row>
    <row r="79" spans="1:4">
      <c r="A79" s="75">
        <f t="shared" si="4"/>
        <v>76</v>
      </c>
      <c r="B79" s="76"/>
      <c r="C79" s="75">
        <f t="shared" si="5"/>
        <v>7.5557863725914323E+22</v>
      </c>
    </row>
    <row r="80" spans="1:4">
      <c r="A80" s="75">
        <f t="shared" si="4"/>
        <v>77</v>
      </c>
      <c r="B80" s="76"/>
      <c r="C80" s="75">
        <f t="shared" si="5"/>
        <v>1.5111572745182865E+23</v>
      </c>
    </row>
    <row r="81" spans="1:4">
      <c r="A81" s="75">
        <f t="shared" si="4"/>
        <v>78</v>
      </c>
      <c r="B81" s="76"/>
      <c r="C81" s="75">
        <f t="shared" si="5"/>
        <v>3.0223145490365729E+23</v>
      </c>
    </row>
    <row r="82" spans="1:4">
      <c r="A82" s="75">
        <f t="shared" si="4"/>
        <v>79</v>
      </c>
      <c r="B82" s="76"/>
      <c r="C82" s="75">
        <f t="shared" si="5"/>
        <v>6.0446290980731459E+23</v>
      </c>
    </row>
    <row r="83" spans="1:4" ht="18">
      <c r="A83" s="75">
        <f t="shared" si="4"/>
        <v>80</v>
      </c>
      <c r="B83" s="76" t="s">
        <v>697</v>
      </c>
      <c r="C83" s="75">
        <f t="shared" si="5"/>
        <v>1.2089258196146292E+24</v>
      </c>
      <c r="D83" s="77" t="s">
        <v>696</v>
      </c>
    </row>
    <row r="84" spans="1:4">
      <c r="A84" s="75">
        <f t="shared" si="4"/>
        <v>81</v>
      </c>
      <c r="B84" s="76"/>
      <c r="C84" s="75">
        <f t="shared" si="5"/>
        <v>2.4178516392292583E+24</v>
      </c>
    </row>
    <row r="85" spans="1:4">
      <c r="A85" s="75">
        <f t="shared" si="4"/>
        <v>82</v>
      </c>
      <c r="B85" s="76"/>
      <c r="C85" s="75">
        <f t="shared" si="5"/>
        <v>4.8357032784585167E+24</v>
      </c>
    </row>
    <row r="86" spans="1:4">
      <c r="A86" s="75">
        <f t="shared" si="4"/>
        <v>83</v>
      </c>
      <c r="B86" s="76"/>
      <c r="C86" s="75">
        <f t="shared" si="5"/>
        <v>9.6714065569170334E+24</v>
      </c>
    </row>
    <row r="87" spans="1:4">
      <c r="A87" s="75">
        <f t="shared" si="4"/>
        <v>84</v>
      </c>
      <c r="B87" s="76"/>
      <c r="C87" s="75">
        <f t="shared" si="5"/>
        <v>1.9342813113834067E+25</v>
      </c>
    </row>
    <row r="88" spans="1:4">
      <c r="A88" s="75">
        <f t="shared" si="4"/>
        <v>85</v>
      </c>
      <c r="B88" s="76"/>
      <c r="C88" s="75">
        <f t="shared" si="5"/>
        <v>3.8685626227668134E+25</v>
      </c>
    </row>
    <row r="89" spans="1:4">
      <c r="A89" s="75">
        <f t="shared" si="4"/>
        <v>86</v>
      </c>
      <c r="B89" s="76"/>
      <c r="C89" s="75">
        <f t="shared" si="5"/>
        <v>7.7371252455336267E+25</v>
      </c>
    </row>
    <row r="90" spans="1:4">
      <c r="A90" s="75">
        <f t="shared" si="4"/>
        <v>87</v>
      </c>
      <c r="B90" s="76"/>
      <c r="C90" s="75">
        <f t="shared" si="5"/>
        <v>1.5474250491067253E+26</v>
      </c>
    </row>
    <row r="91" spans="1:4">
      <c r="A91" s="75">
        <f t="shared" si="4"/>
        <v>88</v>
      </c>
      <c r="B91" s="76"/>
      <c r="C91" s="75">
        <f t="shared" si="5"/>
        <v>3.0948500982134507E+26</v>
      </c>
    </row>
    <row r="92" spans="1:4">
      <c r="A92" s="75">
        <f t="shared" si="4"/>
        <v>89</v>
      </c>
      <c r="B92" s="76"/>
      <c r="C92" s="75">
        <f t="shared" si="5"/>
        <v>6.1897001964269014E+26</v>
      </c>
    </row>
    <row r="93" spans="1:4">
      <c r="A93" s="75">
        <f t="shared" si="4"/>
        <v>90</v>
      </c>
      <c r="B93" s="76" t="s">
        <v>714</v>
      </c>
      <c r="C93" s="75">
        <f t="shared" si="5"/>
        <v>1.2379400392853803E+27</v>
      </c>
    </row>
    <row r="94" spans="1:4">
      <c r="A94" s="75">
        <f t="shared" si="4"/>
        <v>91</v>
      </c>
      <c r="B94" s="76"/>
      <c r="C94" s="75">
        <f t="shared" si="5"/>
        <v>2.4758800785707605E+27</v>
      </c>
    </row>
    <row r="95" spans="1:4">
      <c r="A95" s="75">
        <f t="shared" si="4"/>
        <v>92</v>
      </c>
      <c r="B95" s="76"/>
      <c r="C95" s="75">
        <f t="shared" si="5"/>
        <v>4.9517601571415211E+27</v>
      </c>
    </row>
    <row r="96" spans="1:4">
      <c r="A96" s="75">
        <f t="shared" si="4"/>
        <v>93</v>
      </c>
      <c r="B96" s="76"/>
      <c r="C96" s="75">
        <f t="shared" si="5"/>
        <v>9.9035203142830422E+27</v>
      </c>
    </row>
    <row r="97" spans="1:4">
      <c r="A97" s="75">
        <f t="shared" si="4"/>
        <v>94</v>
      </c>
      <c r="B97" s="76"/>
      <c r="C97" s="75">
        <f t="shared" si="5"/>
        <v>1.9807040628566084E+28</v>
      </c>
    </row>
    <row r="98" spans="1:4">
      <c r="A98" s="75">
        <f t="shared" si="4"/>
        <v>95</v>
      </c>
      <c r="B98" s="76"/>
      <c r="C98" s="75">
        <f t="shared" si="5"/>
        <v>3.9614081257132169E+28</v>
      </c>
    </row>
    <row r="99" spans="1:4">
      <c r="A99" s="75">
        <f t="shared" si="4"/>
        <v>96</v>
      </c>
      <c r="B99" s="76"/>
      <c r="C99" s="75">
        <f t="shared" si="5"/>
        <v>7.9228162514264338E+28</v>
      </c>
    </row>
    <row r="100" spans="1:4">
      <c r="A100" s="75">
        <f t="shared" si="4"/>
        <v>97</v>
      </c>
      <c r="B100" s="76"/>
      <c r="C100" s="75">
        <f t="shared" si="5"/>
        <v>1.5845632502852868E+29</v>
      </c>
    </row>
    <row r="101" spans="1:4">
      <c r="A101" s="75">
        <f t="shared" si="4"/>
        <v>98</v>
      </c>
      <c r="B101" s="76"/>
      <c r="C101" s="75">
        <f t="shared" si="5"/>
        <v>3.1691265005705735E+29</v>
      </c>
    </row>
    <row r="102" spans="1:4">
      <c r="A102" s="75">
        <f t="shared" si="4"/>
        <v>99</v>
      </c>
      <c r="B102" s="76"/>
      <c r="C102" s="75">
        <f t="shared" si="5"/>
        <v>6.338253001141147E+29</v>
      </c>
    </row>
    <row r="103" spans="1:4" ht="46.5">
      <c r="A103" s="75">
        <f t="shared" si="4"/>
        <v>100</v>
      </c>
      <c r="B103" s="76" t="s">
        <v>715</v>
      </c>
      <c r="C103" s="75">
        <f t="shared" si="5"/>
        <v>1.2676506002282294E+30</v>
      </c>
      <c r="D103" s="78">
        <f>C103/1024^10</f>
        <v>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6"/>
  <dimension ref="A1:J33"/>
  <sheetViews>
    <sheetView workbookViewId="0">
      <selection activeCell="I11" sqref="I11"/>
    </sheetView>
  </sheetViews>
  <sheetFormatPr defaultRowHeight="15"/>
  <cols>
    <col min="1" max="1" width="33.140625" bestFit="1" customWidth="1"/>
    <col min="3" max="3" width="11.5703125" bestFit="1" customWidth="1"/>
    <col min="9" max="9" width="15.140625" bestFit="1" customWidth="1"/>
    <col min="10" max="10" width="11.5703125" bestFit="1" customWidth="1"/>
  </cols>
  <sheetData>
    <row r="1" spans="1:10">
      <c r="A1" t="s">
        <v>774</v>
      </c>
      <c r="B1" t="s">
        <v>783</v>
      </c>
      <c r="I1" t="s">
        <v>775</v>
      </c>
    </row>
    <row r="2" spans="1:10">
      <c r="A2" t="s">
        <v>778</v>
      </c>
      <c r="I2" s="11" t="s">
        <v>767</v>
      </c>
      <c r="J2" t="s">
        <v>772</v>
      </c>
    </row>
    <row r="3" spans="1:10">
      <c r="A3" t="s">
        <v>779</v>
      </c>
      <c r="I3" s="90">
        <v>42660.836053240702</v>
      </c>
      <c r="J3" t="s">
        <v>771</v>
      </c>
    </row>
    <row r="4" spans="1:10">
      <c r="A4" t="s">
        <v>780</v>
      </c>
      <c r="I4" s="90">
        <v>42660.835740740702</v>
      </c>
      <c r="J4" t="s">
        <v>768</v>
      </c>
    </row>
    <row r="5" spans="1:10">
      <c r="A5" t="s">
        <v>781</v>
      </c>
      <c r="I5" s="90">
        <v>42660.836157407401</v>
      </c>
      <c r="J5" t="s">
        <v>769</v>
      </c>
    </row>
    <row r="6" spans="1:10">
      <c r="A6" t="s">
        <v>771</v>
      </c>
      <c r="I6" s="90">
        <v>42660.836180555598</v>
      </c>
      <c r="J6" t="s">
        <v>768</v>
      </c>
    </row>
    <row r="7" spans="1:10">
      <c r="A7" t="s">
        <v>772</v>
      </c>
      <c r="I7" s="90">
        <v>42660.836192129602</v>
      </c>
      <c r="J7" t="s">
        <v>774</v>
      </c>
    </row>
    <row r="8" spans="1:10">
      <c r="A8" t="s">
        <v>773</v>
      </c>
      <c r="I8" s="90">
        <v>42660.836215277799</v>
      </c>
      <c r="J8" t="s">
        <v>774</v>
      </c>
    </row>
    <row r="9" spans="1:10">
      <c r="I9" s="90">
        <v>42660.836215277799</v>
      </c>
      <c r="J9" t="s">
        <v>774</v>
      </c>
    </row>
    <row r="10" spans="1:10">
      <c r="I10" s="90">
        <v>42660.836226851898</v>
      </c>
      <c r="J10" t="s">
        <v>774</v>
      </c>
    </row>
    <row r="11" spans="1:10">
      <c r="I11" s="90">
        <v>42660.836226851898</v>
      </c>
      <c r="J11" t="s">
        <v>774</v>
      </c>
    </row>
    <row r="12" spans="1:10">
      <c r="C12">
        <v>666</v>
      </c>
      <c r="I12" s="90">
        <v>42660.8371064815</v>
      </c>
      <c r="J12">
        <v>666666666666</v>
      </c>
    </row>
    <row r="13" spans="1:10">
      <c r="C13">
        <v>666</v>
      </c>
      <c r="I13" s="90">
        <v>42660.837349537003</v>
      </c>
      <c r="J13">
        <v>666</v>
      </c>
    </row>
    <row r="14" spans="1:10">
      <c r="C14">
        <v>666</v>
      </c>
      <c r="I14" s="90">
        <v>42660.837361111102</v>
      </c>
      <c r="J14">
        <v>666</v>
      </c>
    </row>
    <row r="15" spans="1:10">
      <c r="C15">
        <v>666</v>
      </c>
      <c r="I15" s="90">
        <v>42660.837361111102</v>
      </c>
      <c r="J15">
        <v>666</v>
      </c>
    </row>
    <row r="16" spans="1:10">
      <c r="C16">
        <v>666</v>
      </c>
      <c r="I16" s="90">
        <v>42660.837372685201</v>
      </c>
      <c r="J16">
        <v>666</v>
      </c>
    </row>
    <row r="17" spans="3:10">
      <c r="C17">
        <v>666</v>
      </c>
      <c r="I17" s="90">
        <v>42660.837372685201</v>
      </c>
      <c r="J17">
        <v>666</v>
      </c>
    </row>
    <row r="18" spans="3:10">
      <c r="I18" s="90">
        <v>42660.837372685201</v>
      </c>
      <c r="J18">
        <v>666</v>
      </c>
    </row>
    <row r="19" spans="3:10">
      <c r="I19" s="90">
        <v>42660.837384259299</v>
      </c>
      <c r="J19">
        <v>666</v>
      </c>
    </row>
    <row r="20" spans="3:10">
      <c r="I20" s="90">
        <v>42660.837384259299</v>
      </c>
      <c r="J20">
        <v>666</v>
      </c>
    </row>
    <row r="21" spans="3:10">
      <c r="I21" s="90">
        <v>42660.8374652778</v>
      </c>
      <c r="J21">
        <v>666</v>
      </c>
    </row>
    <row r="22" spans="3:10">
      <c r="I22" s="90">
        <v>42660.8375115741</v>
      </c>
      <c r="J22">
        <v>666</v>
      </c>
    </row>
    <row r="23" spans="3:10">
      <c r="I23" s="90">
        <v>42660.8375115741</v>
      </c>
      <c r="J23">
        <v>666</v>
      </c>
    </row>
    <row r="24" spans="3:10">
      <c r="I24" s="90">
        <v>42660.837523148097</v>
      </c>
      <c r="J24">
        <v>666</v>
      </c>
    </row>
    <row r="25" spans="3:10">
      <c r="I25" s="90">
        <v>42660.837523148097</v>
      </c>
      <c r="J25">
        <v>666</v>
      </c>
    </row>
    <row r="26" spans="3:10">
      <c r="I26" s="90">
        <v>42660.837523148097</v>
      </c>
      <c r="J26">
        <v>666</v>
      </c>
    </row>
    <row r="27" spans="3:10">
      <c r="I27" s="90">
        <v>42660.837534722203</v>
      </c>
      <c r="J27" t="s">
        <v>770</v>
      </c>
    </row>
    <row r="28" spans="3:10">
      <c r="I28" s="90"/>
    </row>
    <row r="30" spans="3:10">
      <c r="I30" s="90"/>
    </row>
    <row r="31" spans="3:10">
      <c r="I31" s="90"/>
    </row>
    <row r="32" spans="3:10">
      <c r="I32" s="90"/>
    </row>
    <row r="33" spans="9:9">
      <c r="I33" s="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Makrokomanda3">
                <anchor moveWithCells="1" sizeWithCells="1">
                  <from>
                    <xdr:col>3</xdr:col>
                    <xdr:colOff>638175</xdr:colOff>
                    <xdr:row>1</xdr:row>
                    <xdr:rowOff>123825</xdr:rowOff>
                  </from>
                  <to>
                    <xdr:col>5</xdr:col>
                    <xdr:colOff>571500</xdr:colOff>
                    <xdr:row>7</xdr:row>
                    <xdr:rowOff>161925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7"/>
  <dimension ref="A1:D32"/>
  <sheetViews>
    <sheetView workbookViewId="0">
      <selection activeCell="A23" sqref="A23"/>
    </sheetView>
  </sheetViews>
  <sheetFormatPr defaultRowHeight="15"/>
  <cols>
    <col min="1" max="1" width="18.85546875" style="91" customWidth="1"/>
    <col min="2" max="2" width="34.28515625" customWidth="1"/>
  </cols>
  <sheetData>
    <row r="1" spans="1:4">
      <c r="A1" s="92" t="s">
        <v>776</v>
      </c>
      <c r="B1" s="2" t="s">
        <v>777</v>
      </c>
      <c r="D1" t="s">
        <v>784</v>
      </c>
    </row>
    <row r="2" spans="1:4">
      <c r="A2" s="91">
        <v>42661.284722222197</v>
      </c>
      <c r="B2" t="s">
        <v>782</v>
      </c>
    </row>
    <row r="3" spans="1:4">
      <c r="A3" s="91">
        <v>42661.285289351901</v>
      </c>
      <c r="B3" t="s">
        <v>774</v>
      </c>
    </row>
    <row r="4" spans="1:4">
      <c r="A4" s="91">
        <v>42661.285416666702</v>
      </c>
      <c r="B4" t="s">
        <v>778</v>
      </c>
    </row>
    <row r="5" spans="1:4">
      <c r="A5" s="91">
        <v>42661.285428240699</v>
      </c>
      <c r="B5" t="s">
        <v>779</v>
      </c>
    </row>
    <row r="6" spans="1:4">
      <c r="A6" s="91">
        <v>42661.285439814797</v>
      </c>
      <c r="B6" t="s">
        <v>780</v>
      </c>
    </row>
    <row r="7" spans="1:4">
      <c r="A7" s="91">
        <v>42661.285462963002</v>
      </c>
      <c r="B7" t="s">
        <v>781</v>
      </c>
    </row>
    <row r="8" spans="1:4">
      <c r="A8" s="91">
        <v>42661.285486111097</v>
      </c>
      <c r="B8" t="s">
        <v>771</v>
      </c>
    </row>
    <row r="9" spans="1:4">
      <c r="A9" s="91">
        <v>42661.285497685203</v>
      </c>
      <c r="B9" t="s">
        <v>772</v>
      </c>
    </row>
    <row r="10" spans="1:4">
      <c r="A10" s="91">
        <v>42661.285509259302</v>
      </c>
      <c r="B10" t="s">
        <v>773</v>
      </c>
    </row>
    <row r="11" spans="1:4">
      <c r="A11" s="91">
        <v>42661.285532407397</v>
      </c>
      <c r="B11" t="s">
        <v>771</v>
      </c>
    </row>
    <row r="12" spans="1:4">
      <c r="A12" s="91">
        <v>42661.285555555602</v>
      </c>
      <c r="B12" t="s">
        <v>772</v>
      </c>
    </row>
    <row r="13" spans="1:4">
      <c r="A13" s="91">
        <v>42661.285567129598</v>
      </c>
      <c r="B13" t="s">
        <v>773</v>
      </c>
    </row>
    <row r="14" spans="1:4">
      <c r="A14" s="91">
        <v>42661.285648148201</v>
      </c>
      <c r="B14" t="s">
        <v>778</v>
      </c>
    </row>
    <row r="15" spans="1:4">
      <c r="A15" s="91">
        <v>42661.285648148201</v>
      </c>
      <c r="B15" t="s">
        <v>779</v>
      </c>
    </row>
    <row r="16" spans="1:4">
      <c r="A16" s="91">
        <v>42661.285659722198</v>
      </c>
      <c r="B16" t="s">
        <v>780</v>
      </c>
    </row>
    <row r="17" spans="1:2">
      <c r="A17" s="91">
        <v>42661.286249999997</v>
      </c>
      <c r="B17" t="s">
        <v>780</v>
      </c>
    </row>
    <row r="18" spans="1:2">
      <c r="A18" s="91">
        <v>42661.286354166703</v>
      </c>
      <c r="B18" t="s">
        <v>778</v>
      </c>
    </row>
    <row r="19" spans="1:2">
      <c r="A19" s="91">
        <v>42661.286365740598</v>
      </c>
      <c r="B19" t="s">
        <v>779</v>
      </c>
    </row>
    <row r="20" spans="1:2">
      <c r="A20" s="91">
        <v>42661.286377314798</v>
      </c>
      <c r="B20" t="s">
        <v>780</v>
      </c>
    </row>
    <row r="21" spans="1:2">
      <c r="A21" s="91">
        <v>42661.290925925903</v>
      </c>
      <c r="B21" t="s">
        <v>781</v>
      </c>
    </row>
    <row r="22" spans="1:2">
      <c r="A22" s="91">
        <v>42661.290972222203</v>
      </c>
      <c r="B22" t="s">
        <v>780</v>
      </c>
    </row>
    <row r="23" spans="1:2">
      <c r="A23" s="91">
        <v>42661.2955671296</v>
      </c>
      <c r="B23" t="s">
        <v>779</v>
      </c>
    </row>
    <row r="24" spans="1:2">
      <c r="A24" s="91">
        <v>43051.473958333336</v>
      </c>
      <c r="B24" t="s">
        <v>779</v>
      </c>
    </row>
    <row r="25" spans="1:2">
      <c r="A25" s="91">
        <v>43051.474004629628</v>
      </c>
      <c r="B25" t="s">
        <v>779</v>
      </c>
    </row>
    <row r="26" spans="1:2">
      <c r="A26" s="91">
        <v>43051.474004629628</v>
      </c>
      <c r="B26" t="s">
        <v>779</v>
      </c>
    </row>
    <row r="27" spans="1:2">
      <c r="A27" s="91">
        <v>43051.474016203705</v>
      </c>
      <c r="B27" t="s">
        <v>779</v>
      </c>
    </row>
    <row r="28" spans="1:2">
      <c r="A28" s="91">
        <v>43051.474016203705</v>
      </c>
      <c r="B28" t="s">
        <v>779</v>
      </c>
    </row>
    <row r="29" spans="1:2">
      <c r="A29" s="91">
        <v>43051.474016203705</v>
      </c>
      <c r="B29" t="s">
        <v>779</v>
      </c>
    </row>
    <row r="30" spans="1:2">
      <c r="A30" s="91">
        <v>43051.474027777775</v>
      </c>
      <c r="B30" t="s">
        <v>779</v>
      </c>
    </row>
    <row r="31" spans="1:2">
      <c r="A31" s="91">
        <v>43051.474039351851</v>
      </c>
      <c r="B31" s="90">
        <v>42660.836226851854</v>
      </c>
    </row>
    <row r="32" spans="1:2">
      <c r="A32" s="91">
        <v>43051.474039351851</v>
      </c>
      <c r="B32" s="90">
        <v>42660.836226851854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Makrokomanda3">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Komandos</vt:lpstr>
      <vt:lpstr>Veiksmai su CELĖMIS</vt:lpstr>
      <vt:lpstr>MacroBandymai</vt:lpstr>
      <vt:lpstr>PivotTableAnalizė</vt:lpstr>
      <vt:lpstr>Mano filmografija</vt:lpstr>
      <vt:lpstr>Koordinatės</vt:lpstr>
      <vt:lpstr>Trumpi Kodai</vt:lpstr>
      <vt:lpstr>Kintamųjų tipai</vt:lpstr>
      <vt:lpstr>VBA Funkcijos EN</vt:lpstr>
      <vt:lpstr>VBA sakiniai EN</vt:lpstr>
      <vt:lpstr>Išeiti iš ciklo</vt:lpstr>
      <vt:lpstr>UserForms</vt:lpstr>
      <vt:lpstr>Lapas3</vt:lpstr>
      <vt:lpstr>VBA kodo sintaksės analizė</vt:lpstr>
      <vt:lpstr>Interaktyvi VBA procedura</vt:lpstr>
      <vt:lpstr>Lapas1</vt:lpstr>
      <vt:lpstr>Formų tyrinėjimai</vt:lpstr>
      <vt:lpstr>Baitai</vt:lpstr>
      <vt:lpstr>GamPlanKontrol</vt:lpstr>
      <vt:lpstr>HID</vt:lpstr>
      <vt:lpstr>cond</vt:lpstr>
      <vt:lpstr>Komandos!Print_Area</vt:lpstr>
      <vt:lpstr>'Trumpi Kodai'!Print_Area</vt:lpstr>
      <vt:lpstr>'Veiksmai su CELĖMIS'!Print_Area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2020-01-01T09:52:45Z</dcterms:modified>
</cp:coreProperties>
</file>