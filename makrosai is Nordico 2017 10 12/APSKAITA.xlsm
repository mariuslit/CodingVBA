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slicers/slicer1.xml" ContentType="application/vnd.ms-excel.slicer+xml"/>
  <Override PartName="/xl/comments3.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24226"/>
  <bookViews>
    <workbookView xWindow="0" yWindow="0" windowWidth="20490" windowHeight="6780" tabRatio="827" activeTab="2"/>
  </bookViews>
  <sheets>
    <sheet name="Paste value pagr (2)" sheetId="68" r:id="rId1"/>
    <sheet name="KODU_GRUPAVIMAS" sheetId="43" r:id="rId2"/>
    <sheet name="APSKAITA" sheetId="17" r:id="rId3"/>
    <sheet name="Paste value pagr" sheetId="42" r:id="rId4"/>
  </sheets>
  <definedNames>
    <definedName name="_xlnm.Print_Area" localSheetId="2">#REF!</definedName>
    <definedName name="_xlnm.Print_Area" localSheetId="1">KODU_GRUPAVIMAS!$AA$2:$AA$8</definedName>
    <definedName name="_xlnm.Print_Titles" localSheetId="2">APSKAITA!$13:$13</definedName>
    <definedName name="Slicer_Naujas_kodas">#N/A</definedName>
    <definedName name="Slicer_Paleidimai">#N/A</definedName>
    <definedName name="Slicer_Projektas11">#N/A</definedName>
  </definedNames>
  <calcPr calcId="162913"/>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4:slicerCache r:id="rId6"/>
        <x14:slicerCache r:id="rId7"/>
      </x15:slicerCaches>
    </ext>
  </extLst>
</workbook>
</file>

<file path=xl/calcChain.xml><?xml version="1.0" encoding="utf-8"?>
<calcChain xmlns="http://schemas.openxmlformats.org/spreadsheetml/2006/main">
  <c r="I22" i="17" l="1"/>
  <c r="J22" i="17"/>
  <c r="K22" i="17"/>
  <c r="L22" i="17"/>
  <c r="N22" i="17"/>
  <c r="P22" i="17"/>
  <c r="Q22" i="17"/>
  <c r="S22" i="17"/>
  <c r="T22" i="17"/>
  <c r="U22" i="17"/>
  <c r="V22" i="17"/>
  <c r="O22" i="17"/>
  <c r="M22" i="17"/>
  <c r="B2" i="68" l="1"/>
  <c r="A2" i="68"/>
  <c r="AD4" i="43" l="1"/>
  <c r="AD5" i="43"/>
  <c r="AD6" i="43"/>
  <c r="AD7" i="43"/>
  <c r="AD8" i="43"/>
  <c r="V21" i="17" l="1"/>
  <c r="U21" i="17"/>
  <c r="T21" i="17"/>
  <c r="V20" i="17"/>
  <c r="U20" i="17"/>
  <c r="T20" i="17"/>
  <c r="V19" i="17"/>
  <c r="U19" i="17"/>
  <c r="T19" i="17"/>
  <c r="V18" i="17"/>
  <c r="U18" i="17"/>
  <c r="T18" i="17"/>
  <c r="V17" i="17"/>
  <c r="U17" i="17"/>
  <c r="T17" i="17"/>
  <c r="V16" i="17"/>
  <c r="U16" i="17"/>
  <c r="T16" i="17"/>
  <c r="N15" i="17"/>
  <c r="V15" i="17"/>
  <c r="U15" i="17"/>
  <c r="T15" i="17"/>
  <c r="N14" i="17"/>
  <c r="V14" i="17"/>
  <c r="U14" i="17"/>
  <c r="T14" i="17"/>
  <c r="S14" i="17"/>
  <c r="D12" i="17"/>
  <c r="AE8" i="43"/>
  <c r="AE7" i="43"/>
  <c r="AE6" i="43"/>
  <c r="AE5" i="43"/>
  <c r="AE4" i="43"/>
  <c r="AI4" i="43"/>
  <c r="F2" i="43"/>
  <c r="C2" i="43"/>
  <c r="L1" i="43"/>
  <c r="N16" i="17" l="1"/>
  <c r="P19" i="17"/>
  <c r="P20" i="17"/>
  <c r="P21" i="17"/>
  <c r="B5" i="43"/>
  <c r="P5" i="43" s="1"/>
  <c r="B6" i="43"/>
  <c r="P6" i="43" s="1"/>
  <c r="K6" i="43"/>
  <c r="B8" i="43"/>
  <c r="L8" i="43" s="1"/>
  <c r="K4" i="43"/>
  <c r="K5" i="43"/>
  <c r="K8" i="43"/>
  <c r="K7" i="43"/>
  <c r="B7" i="43"/>
  <c r="B4" i="43"/>
  <c r="P4" i="43" s="1"/>
  <c r="N19" i="17"/>
  <c r="Q19" i="17"/>
  <c r="Q14" i="17"/>
  <c r="K14" i="17"/>
  <c r="K19" i="17"/>
  <c r="K20" i="17"/>
  <c r="P18" i="17"/>
  <c r="N21" i="17"/>
  <c r="D2" i="43"/>
  <c r="AD3" i="43" s="1"/>
  <c r="P16" i="17"/>
  <c r="Q18" i="17"/>
  <c r="N17" i="17"/>
  <c r="N20" i="17"/>
  <c r="N18" i="17"/>
  <c r="AA3" i="43"/>
  <c r="C5" i="43"/>
  <c r="AA8" i="43"/>
  <c r="AA4" i="43"/>
  <c r="AA5" i="43"/>
  <c r="C7" i="43"/>
  <c r="C4" i="43"/>
  <c r="AA6" i="43"/>
  <c r="AA7" i="43"/>
  <c r="C6" i="43"/>
  <c r="K18" i="17"/>
  <c r="Q17" i="17"/>
  <c r="K17" i="17"/>
  <c r="Q16" i="17"/>
  <c r="K16" i="17"/>
  <c r="Q15" i="17"/>
  <c r="K15" i="17"/>
  <c r="J14" i="17"/>
  <c r="Q21" i="17"/>
  <c r="K21" i="17"/>
  <c r="Q20" i="17"/>
  <c r="C8" i="43"/>
  <c r="P14" i="17"/>
  <c r="J21" i="17"/>
  <c r="J19" i="17"/>
  <c r="J17" i="17"/>
  <c r="J15" i="17"/>
  <c r="J20" i="17"/>
  <c r="J18" i="17"/>
  <c r="J16" i="17"/>
  <c r="P15" i="17"/>
  <c r="P17" i="17"/>
  <c r="M4" i="43" l="1"/>
  <c r="I4" i="43"/>
  <c r="Q5" i="43"/>
  <c r="P8" i="43"/>
  <c r="R5" i="43"/>
  <c r="I5" i="43"/>
  <c r="L5" i="43"/>
  <c r="T5" i="43"/>
  <c r="O4" i="43"/>
  <c r="V4" i="43"/>
  <c r="T4" i="43"/>
  <c r="Q4" i="43"/>
  <c r="N5" i="43"/>
  <c r="S5" i="43"/>
  <c r="Q6" i="43"/>
  <c r="N6" i="43"/>
  <c r="L4" i="43"/>
  <c r="N4" i="43"/>
  <c r="U5" i="43"/>
  <c r="V5" i="43"/>
  <c r="O5" i="43"/>
  <c r="M5" i="43"/>
  <c r="U4" i="43"/>
  <c r="R4" i="43"/>
  <c r="S4" i="43"/>
  <c r="S7" i="43"/>
  <c r="M7" i="43"/>
  <c r="V7" i="43"/>
  <c r="R6" i="43"/>
  <c r="B2" i="43"/>
  <c r="R7" i="43"/>
  <c r="I7" i="43"/>
  <c r="T7" i="43"/>
  <c r="L7" i="43"/>
  <c r="O7" i="43"/>
  <c r="N7" i="43"/>
  <c r="U7" i="43"/>
  <c r="P7" i="43"/>
  <c r="Q7" i="43"/>
  <c r="AI3" i="43"/>
  <c r="U8" i="43"/>
  <c r="N8" i="43"/>
  <c r="S8" i="43"/>
  <c r="R8" i="43"/>
  <c r="O8" i="43"/>
  <c r="T8" i="43"/>
  <c r="Q8" i="43"/>
  <c r="I8" i="43"/>
  <c r="V6" i="43"/>
  <c r="U6" i="43"/>
  <c r="O6" i="43"/>
  <c r="T6" i="43"/>
  <c r="I6" i="43"/>
  <c r="M6" i="43"/>
  <c r="M8" i="43"/>
  <c r="V8" i="43"/>
  <c r="S6" i="43"/>
  <c r="L6" i="43"/>
  <c r="D5" i="43"/>
  <c r="D4" i="43"/>
  <c r="AB3" i="43"/>
  <c r="AH3" i="43" s="1"/>
  <c r="D8" i="43"/>
  <c r="D7" i="43"/>
  <c r="AB7" i="43"/>
  <c r="AB4" i="43"/>
  <c r="D6" i="43"/>
  <c r="AB8" i="43"/>
  <c r="AB6" i="43"/>
  <c r="AB5" i="43"/>
  <c r="J4" i="43" l="1"/>
  <c r="E4" i="43" s="1"/>
  <c r="J5" i="43"/>
  <c r="E5" i="43" s="1"/>
  <c r="J8" i="43"/>
  <c r="E8" i="43" s="1"/>
  <c r="J7" i="43"/>
  <c r="E7" i="43" s="1"/>
  <c r="J6" i="43"/>
  <c r="E6" i="43" s="1"/>
  <c r="AI6" i="43"/>
  <c r="AI7" i="43"/>
  <c r="AI8" i="43"/>
  <c r="AI5" i="43"/>
  <c r="I15" i="17"/>
  <c r="I19" i="17"/>
  <c r="I17" i="17"/>
  <c r="I21" i="17"/>
  <c r="I14" i="17"/>
  <c r="I18" i="17"/>
  <c r="I20" i="17"/>
  <c r="I16" i="17"/>
  <c r="AC3" i="43"/>
  <c r="M2" i="43"/>
  <c r="P2" i="43"/>
  <c r="N2" i="43"/>
  <c r="Q2" i="43"/>
  <c r="V2" i="43"/>
  <c r="S2" i="43"/>
  <c r="U2" i="43"/>
  <c r="T2" i="43"/>
  <c r="O2" i="43"/>
  <c r="R2" i="43"/>
  <c r="L2" i="43"/>
  <c r="AC5" i="43" l="1"/>
  <c r="AC4" i="43"/>
  <c r="AC6" i="43"/>
  <c r="AC8" i="43"/>
  <c r="AC7" i="43"/>
  <c r="AI1" i="43"/>
  <c r="J2" i="43"/>
  <c r="A8" i="43" l="1"/>
  <c r="A7" i="43"/>
  <c r="A5" i="43"/>
  <c r="A4" i="43"/>
  <c r="A6" i="43"/>
  <c r="Z1" i="43"/>
  <c r="S15" i="17" l="1"/>
  <c r="S16" i="17" l="1"/>
  <c r="S17" i="17" l="1"/>
  <c r="S18" i="17" l="1"/>
  <c r="S19" i="17" l="1"/>
  <c r="S20" i="17" l="1"/>
  <c r="S21" i="17" l="1"/>
  <c r="R22" i="17" s="1"/>
  <c r="O19" i="17"/>
  <c r="M21" i="17"/>
  <c r="M15" i="17"/>
  <c r="O14" i="17"/>
  <c r="O15" i="17"/>
  <c r="M16" i="17"/>
  <c r="O21" i="17"/>
  <c r="M18" i="17"/>
  <c r="M14" i="17"/>
  <c r="O17" i="17"/>
  <c r="O18" i="17"/>
  <c r="O20" i="17"/>
  <c r="O16" i="17"/>
  <c r="M20" i="17"/>
  <c r="M19" i="17"/>
  <c r="M17" i="17"/>
  <c r="L15" i="17" l="1"/>
  <c r="H11" i="17"/>
  <c r="L16" i="17" l="1"/>
  <c r="L20" i="17"/>
  <c r="L19" i="17"/>
  <c r="L18" i="17"/>
  <c r="L17" i="17"/>
  <c r="L14" i="17"/>
  <c r="L21" i="17"/>
  <c r="J11" i="17" l="1"/>
  <c r="R17" i="17" l="1"/>
  <c r="R20" i="17"/>
  <c r="R19" i="17"/>
  <c r="R14" i="17"/>
  <c r="R16" i="17"/>
  <c r="R18" i="17"/>
  <c r="R21" i="17"/>
  <c r="R15" i="17"/>
</calcChain>
</file>

<file path=xl/comments1.xml><?xml version="1.0" encoding="utf-8"?>
<comments xmlns="http://schemas.openxmlformats.org/spreadsheetml/2006/main">
  <authors>
    <author>Author</author>
  </authors>
  <commentList>
    <comment ref="A2" authorId="0" shapeId="0">
      <text>
        <r>
          <rPr>
            <b/>
            <sz val="9"/>
            <color indexed="81"/>
            <rFont val="Tahoma"/>
            <family val="2"/>
            <charset val="186"/>
          </rPr>
          <t>Author:</t>
        </r>
        <r>
          <rPr>
            <sz val="9"/>
            <color indexed="81"/>
            <rFont val="Tahoma"/>
            <family val="2"/>
            <charset val="186"/>
          </rPr>
          <t xml:space="preserve">
Data</t>
        </r>
      </text>
    </comment>
    <comment ref="B2" authorId="0" shapeId="0">
      <text>
        <r>
          <rPr>
            <b/>
            <sz val="9"/>
            <color indexed="81"/>
            <rFont val="Tahoma"/>
            <family val="2"/>
            <charset val="186"/>
          </rPr>
          <t>Author:</t>
        </r>
        <r>
          <rPr>
            <sz val="9"/>
            <color indexed="81"/>
            <rFont val="Tahoma"/>
            <family val="2"/>
            <charset val="186"/>
          </rPr>
          <t xml:space="preserve">
Failo vardas</t>
        </r>
      </text>
    </comment>
  </commentList>
</comments>
</file>

<file path=xl/comments2.xml><?xml version="1.0" encoding="utf-8"?>
<comments xmlns="http://schemas.openxmlformats.org/spreadsheetml/2006/main">
  <authors>
    <author>Author</author>
  </authors>
  <commentList>
    <comment ref="F3" authorId="0" shapeId="0">
      <text>
        <r>
          <rPr>
            <b/>
            <sz val="9"/>
            <color indexed="81"/>
            <rFont val="Tahoma"/>
            <family val="2"/>
            <charset val="186"/>
          </rPr>
          <t>Paste Value į C4 langelį</t>
        </r>
      </text>
    </comment>
  </commentList>
</comments>
</file>

<file path=xl/comments3.xml><?xml version="1.0" encoding="utf-8"?>
<comments xmlns="http://schemas.openxmlformats.org/spreadsheetml/2006/main">
  <authors>
    <author>Author</author>
  </authors>
  <commentList>
    <comment ref="C13" authorId="0" shapeId="0">
      <text>
        <r>
          <rPr>
            <b/>
            <sz val="9"/>
            <color indexed="81"/>
            <rFont val="Tahoma"/>
            <family val="2"/>
            <charset val="186"/>
          </rPr>
          <t>Bus gaminama, Įkeltas, g1, g2, g3, Pagamintas, Sustabdytas</t>
        </r>
      </text>
    </comment>
  </commentList>
</comments>
</file>

<file path=xl/comments4.xml><?xml version="1.0" encoding="utf-8"?>
<comments xmlns="http://schemas.openxmlformats.org/spreadsheetml/2006/main">
  <authors>
    <author>Author</author>
  </authors>
  <commentList>
    <comment ref="A2" authorId="0" shapeId="0">
      <text>
        <r>
          <rPr>
            <b/>
            <sz val="9"/>
            <color indexed="81"/>
            <rFont val="Tahoma"/>
            <family val="2"/>
            <charset val="186"/>
          </rPr>
          <t>Author:</t>
        </r>
        <r>
          <rPr>
            <sz val="9"/>
            <color indexed="81"/>
            <rFont val="Tahoma"/>
            <family val="2"/>
            <charset val="186"/>
          </rPr>
          <t xml:space="preserve">
Data</t>
        </r>
      </text>
    </comment>
    <comment ref="B2" authorId="0" shapeId="0">
      <text>
        <r>
          <rPr>
            <b/>
            <sz val="9"/>
            <color indexed="81"/>
            <rFont val="Tahoma"/>
            <family val="2"/>
            <charset val="186"/>
          </rPr>
          <t>Author:</t>
        </r>
        <r>
          <rPr>
            <sz val="9"/>
            <color indexed="81"/>
            <rFont val="Tahoma"/>
            <family val="2"/>
            <charset val="186"/>
          </rPr>
          <t xml:space="preserve">
Failo vardas</t>
        </r>
      </text>
    </comment>
  </commentList>
</comments>
</file>

<file path=xl/sharedStrings.xml><?xml version="1.0" encoding="utf-8"?>
<sst xmlns="http://schemas.openxmlformats.org/spreadsheetml/2006/main" count="153" uniqueCount="85">
  <si>
    <t>Poreikis</t>
  </si>
  <si>
    <t>Pastabos</t>
  </si>
  <si>
    <t>Prieš</t>
  </si>
  <si>
    <t>Po</t>
  </si>
  <si>
    <t>Kodas</t>
  </si>
  <si>
    <t>Galutinis likutis</t>
  </si>
  <si>
    <t>X</t>
  </si>
  <si>
    <t>Paleidimas</t>
  </si>
  <si>
    <t>Išduota</t>
  </si>
  <si>
    <t>Projektas</t>
  </si>
  <si>
    <t>Naujas kodas</t>
  </si>
  <si>
    <t>Pavadinimas</t>
  </si>
  <si>
    <t>Pokas</t>
  </si>
  <si>
    <t>Kiekis</t>
  </si>
  <si>
    <t>Paleidimai</t>
  </si>
  <si>
    <t>Balansas</t>
  </si>
  <si>
    <t>Projektas2</t>
  </si>
  <si>
    <t>Sharpcut 20</t>
  </si>
  <si>
    <t>A_Kodas</t>
  </si>
  <si>
    <t>Row</t>
  </si>
  <si>
    <t>Pirmoji eilutė</t>
  </si>
  <si>
    <t>SMMNA blankas'!H2</t>
  </si>
  <si>
    <t xml:space="preserve"> </t>
  </si>
  <si>
    <t>Grupė</t>
  </si>
  <si>
    <t>Stiklas</t>
  </si>
  <si>
    <t>Fasadas</t>
  </si>
  <si>
    <t>Data_Išduota</t>
  </si>
  <si>
    <t>Data_Įkelta</t>
  </si>
  <si>
    <t>PAK_GK5_350x65</t>
  </si>
  <si>
    <t>print</t>
  </si>
  <si>
    <t>BLOK_MOVE</t>
  </si>
  <si>
    <t>Data_</t>
  </si>
  <si>
    <t>Paleidimai_</t>
  </si>
  <si>
    <t>Projektas_</t>
  </si>
  <si>
    <t>BLOK_Nariai</t>
  </si>
  <si>
    <t>BLOK_Nr</t>
  </si>
  <si>
    <t>Gamyboje</t>
  </si>
  <si>
    <t>Failo vardas</t>
  </si>
  <si>
    <t>Sort</t>
  </si>
  <si>
    <t>Data-Laikas</t>
  </si>
  <si>
    <t>Naudingos eilutės</t>
  </si>
  <si>
    <t>Tipas1</t>
  </si>
  <si>
    <t>Kopijavimo laukas būtinai "AA:"-&gt; stulpeliai, naudojamas VBA</t>
  </si>
  <si>
    <t>Kriterijus</t>
  </si>
  <si>
    <t>Gofra</t>
  </si>
  <si>
    <t>G_VW</t>
  </si>
  <si>
    <t>G_VR</t>
  </si>
  <si>
    <t>G_MDF_</t>
  </si>
  <si>
    <t>PAK_GK</t>
  </si>
  <si>
    <t>G_STK_</t>
  </si>
  <si>
    <t>G_VDR_</t>
  </si>
  <si>
    <t>Kriterijų lentelė</t>
  </si>
  <si>
    <t>PAK_GK3</t>
  </si>
  <si>
    <t>PAK_GK5</t>
  </si>
  <si>
    <t>Nauji kodai</t>
  </si>
  <si>
    <t>Eilutės</t>
  </si>
  <si>
    <t>Kiek kodų įkelta (VBA)</t>
  </si>
  <si>
    <t>Kopijuoti eulučių</t>
  </si>
  <si>
    <t>Atskaitinė eilutė</t>
  </si>
  <si>
    <t>Kopijuoti rankiniu būdu</t>
  </si>
  <si>
    <t>Rankinis</t>
  </si>
  <si>
    <t>PAK_SI_</t>
  </si>
  <si>
    <t>Į sandėlį</t>
  </si>
  <si>
    <t>Viso kiekis</t>
  </si>
  <si>
    <t>PAK_PP</t>
  </si>
  <si>
    <t>Nr.</t>
  </si>
  <si>
    <t>Data_Laikas</t>
  </si>
  <si>
    <t>PAK_GK3_500x300</t>
  </si>
  <si>
    <t>FUR_A_DORINA</t>
  </si>
  <si>
    <t>FUR_A_K_LIGHT</t>
  </si>
  <si>
    <t>FUR_BA2D60501</t>
  </si>
  <si>
    <t>FUR_</t>
  </si>
  <si>
    <t>VRZ_</t>
  </si>
  <si>
    <t>3eil.: antraštinės, kitokios formulės</t>
  </si>
  <si>
    <t>Data-</t>
  </si>
  <si>
    <t>Held_038.1</t>
  </si>
  <si>
    <t>DESKTOP</t>
  </si>
  <si>
    <t>PAK_GK3_361x80x104</t>
  </si>
  <si>
    <t>SO1705025-MO-01 #Held=2600</t>
  </si>
  <si>
    <t>Held=2600</t>
  </si>
  <si>
    <t>Duomenų skėlimo data</t>
  </si>
  <si>
    <t>išv 07-10  pr</t>
  </si>
  <si>
    <t>SO1705025-MO-01</t>
  </si>
  <si>
    <t>Tomas</t>
  </si>
  <si>
    <t>SO1706065-MO-03 #Mulan110 FSC =288, Stefano140=105 (=393).xlsx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</si>
</sst>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8" formatCode="mm\.dd"/>
    <numFmt numFmtId="172" formatCode="yyyy\.mm\.dd"/>
  </numFmts>
  <fonts count="37" x14ac:knownFonts="1">
    <font>
      <sz val="11"/>
      <color theme="1"/>
      <name val="Calibri"/>
      <family val="2"/>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rgb="FF000000"/>
      <name val="Calibri"/>
      <family val="2"/>
      <charset val="186"/>
    </font>
    <font>
      <sz val="10"/>
      <name val="Arial"/>
      <family val="2"/>
      <charset val="186"/>
    </font>
    <font>
      <sz val="9"/>
      <color indexed="81"/>
      <name val="Tahoma"/>
      <family val="2"/>
      <charset val="186"/>
    </font>
    <font>
      <b/>
      <sz val="9"/>
      <color indexed="81"/>
      <name val="Tahoma"/>
      <family val="2"/>
      <charset val="186"/>
    </font>
    <font>
      <sz val="10"/>
      <name val="Arial"/>
      <family val="2"/>
      <charset val="186"/>
    </font>
    <font>
      <sz val="10"/>
      <name val="Arial"/>
      <family val="2"/>
      <charset val="186"/>
    </font>
    <font>
      <u/>
      <sz val="10"/>
      <color indexed="12"/>
      <name val="Arial"/>
      <family val="2"/>
    </font>
    <font>
      <b/>
      <sz val="11"/>
      <color rgb="FF008000"/>
      <name val="Calibri"/>
      <family val="2"/>
      <charset val="186"/>
    </font>
  </fonts>
  <fills count="2">
    <fill>
      <patternFill patternType="none"/>
    </fill>
    <fill>
      <patternFill patternType="gray125"/>
    </fill>
  </fills>
  <borders count="1">
    <border>
      <left/>
      <right/>
      <top/>
      <bottom/>
      <diagonal/>
    </border>
  </borders>
  <cellStyleXfs count="38">
    <xf numFmtId="0" fontId="0" fillId="0" borderId="0"/>
    <xf numFmtId="0" fontId="28" fillId="0" borderId="0"/>
    <xf numFmtId="0" fontId="27" fillId="0" borderId="0"/>
    <xf numFmtId="0" fontId="26" fillId="0" borderId="0"/>
    <xf numFmtId="0" fontId="29" fillId="0" borderId="0" applyNumberFormat="0" applyFont="0" applyBorder="0" applyProtection="0"/>
    <xf numFmtId="0" fontId="29" fillId="0" borderId="0"/>
    <xf numFmtId="0" fontId="25" fillId="0" borderId="0"/>
    <xf numFmtId="0" fontId="30" fillId="0" borderId="0"/>
    <xf numFmtId="0" fontId="30" fillId="0" borderId="0"/>
    <xf numFmtId="0" fontId="24" fillId="0" borderId="0"/>
    <xf numFmtId="0" fontId="24" fillId="0" borderId="0"/>
    <xf numFmtId="0" fontId="33" fillId="0" borderId="0"/>
    <xf numFmtId="0" fontId="23" fillId="0" borderId="0"/>
    <xf numFmtId="0" fontId="34" fillId="0" borderId="0"/>
    <xf numFmtId="0" fontId="22" fillId="0" borderId="0"/>
    <xf numFmtId="0" fontId="21" fillId="0" borderId="0"/>
    <xf numFmtId="0" fontId="20" fillId="0" borderId="0"/>
    <xf numFmtId="0" fontId="19" fillId="0" borderId="0"/>
    <xf numFmtId="0" fontId="18" fillId="0" borderId="0"/>
    <xf numFmtId="0" fontId="35" fillId="0" borderId="0" applyNumberFormat="0" applyFill="0" applyBorder="0" applyAlignment="0" applyProtection="0">
      <alignment vertical="top"/>
      <protection locked="0"/>
    </xf>
    <xf numFmtId="0" fontId="17" fillId="0" borderId="0"/>
    <xf numFmtId="0" fontId="16" fillId="0" borderId="0"/>
    <xf numFmtId="0" fontId="15" fillId="0" borderId="0"/>
    <xf numFmtId="0" fontId="14" fillId="0" borderId="0"/>
    <xf numFmtId="0" fontId="30" fillId="0" borderId="0"/>
    <xf numFmtId="0" fontId="13" fillId="0" borderId="0"/>
    <xf numFmtId="0" fontId="12" fillId="0" borderId="0"/>
    <xf numFmtId="0" fontId="11" fillId="0" borderId="0"/>
    <xf numFmtId="0" fontId="10" fillId="0" borderId="0"/>
    <xf numFmtId="0" fontId="9" fillId="0" borderId="0"/>
    <xf numFmtId="0" fontId="8" fillId="0" borderId="0"/>
    <xf numFmtId="0" fontId="7" fillId="0" borderId="0"/>
    <xf numFmtId="0" fontId="6" fillId="0" borderId="0"/>
    <xf numFmtId="0" fontId="5" fillId="0" borderId="0"/>
    <xf numFmtId="0" fontId="4" fillId="0" borderId="0"/>
    <xf numFmtId="0" fontId="3" fillId="0" borderId="0"/>
    <xf numFmtId="0" fontId="2" fillId="0" borderId="0"/>
    <xf numFmtId="0" fontId="1" fillId="0" borderId="0"/>
  </cellStyleXfs>
  <cellXfs count="3">
    <xf numFmtId="0" fontId="0" fillId="0" borderId="0" xfId="0"/>
    <xf numFmtId="172" fontId="0" fillId="0" borderId="0" xfId="0" applyNumberFormat="1"/>
    <xf numFmtId="168" fontId="0" fillId="0" borderId="0" xfId="0" applyNumberFormat="1"/>
  </cellXfs>
  <cellStyles count="38">
    <cellStyle name="Excel Built-in Normal" xfId="8"/>
    <cellStyle name="Hyperlink 2" xfId="19"/>
    <cellStyle name="Normal" xfId="0" builtinId="0"/>
    <cellStyle name="Normal 10" xfId="14"/>
    <cellStyle name="Normal 11" xfId="15"/>
    <cellStyle name="Normal 12" xfId="16"/>
    <cellStyle name="Normal 13" xfId="17"/>
    <cellStyle name="Normal 14" xfId="18"/>
    <cellStyle name="Normal 15" xfId="21"/>
    <cellStyle name="Normal 16" xfId="22"/>
    <cellStyle name="Normal 17" xfId="23"/>
    <cellStyle name="Normal 18" xfId="25"/>
    <cellStyle name="Normal 19" xfId="26"/>
    <cellStyle name="Normal 2" xfId="1"/>
    <cellStyle name="Normal 2 2" xfId="2"/>
    <cellStyle name="Normal 2 2 2" xfId="4"/>
    <cellStyle name="Normal 2 3" xfId="20"/>
    <cellStyle name="Normal 2 4" xfId="24"/>
    <cellStyle name="Normal 20" xfId="27"/>
    <cellStyle name="Normal 21" xfId="28"/>
    <cellStyle name="Normal 22" xfId="29"/>
    <cellStyle name="Normal 23" xfId="30"/>
    <cellStyle name="Normal 24" xfId="31"/>
    <cellStyle name="Normal 25" xfId="32"/>
    <cellStyle name="Normal 26" xfId="33"/>
    <cellStyle name="Normal 27" xfId="34"/>
    <cellStyle name="Normal 28" xfId="35"/>
    <cellStyle name="Normal 29" xfId="36"/>
    <cellStyle name="Normal 3" xfId="6"/>
    <cellStyle name="Normal 3 2" xfId="5"/>
    <cellStyle name="Normal 3 3" xfId="10"/>
    <cellStyle name="Normal 30" xfId="37"/>
    <cellStyle name="Normal 4" xfId="3"/>
    <cellStyle name="Normal 5" xfId="7"/>
    <cellStyle name="Normal 6" xfId="9"/>
    <cellStyle name="Normal 7" xfId="11"/>
    <cellStyle name="Normal 8" xfId="12"/>
    <cellStyle name="Normal 9" xfId="13"/>
  </cellStyles>
  <dxfs count="25">
    <dxf>
      <numFmt numFmtId="168" formatCode="mm\.dd"/>
    </dxf>
    <dxf>
      <fill>
        <patternFill>
          <bgColor rgb="FF00FF00"/>
        </patternFill>
      </fill>
    </dxf>
    <dxf>
      <font>
        <color theme="0"/>
      </font>
      <fill>
        <patternFill>
          <bgColor rgb="FFFF0000"/>
        </patternFill>
      </fill>
    </dxf>
    <dxf>
      <font>
        <color theme="0"/>
      </font>
      <fill>
        <patternFill>
          <bgColor theme="1"/>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ill>
        <gradientFill degree="270">
          <stop position="0">
            <color theme="0"/>
          </stop>
          <stop position="1">
            <color rgb="FF00FF00"/>
          </stop>
        </gradientFill>
      </fill>
    </dxf>
    <dxf>
      <fill>
        <gradientFill degree="90">
          <stop position="0">
            <color theme="0"/>
          </stop>
          <stop position="0.5">
            <color rgb="FFFF33CC"/>
          </stop>
          <stop position="1">
            <color theme="0"/>
          </stop>
        </gradientFill>
      </fill>
    </dxf>
    <dxf>
      <fill>
        <patternFill>
          <bgColor theme="9"/>
        </patternFill>
      </fill>
    </dxf>
    <dxf>
      <font>
        <b val="0"/>
        <i val="0"/>
        <strike val="0"/>
        <condense val="0"/>
        <extend val="0"/>
        <outline val="0"/>
        <shadow val="0"/>
        <u val="none"/>
        <vertAlign val="baseline"/>
        <sz val="8"/>
        <color theme="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8"/>
        <color theme="1"/>
        <name val="Calibri"/>
        <scheme val="minor"/>
      </font>
      <fill>
        <patternFill patternType="solid">
          <fgColor indexed="64"/>
          <bgColor indexed="22"/>
        </patternFill>
      </fill>
      <alignment horizontal="center" vertical="bottom"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alignment horizontal="left" vertical="bottom" textRotation="0" wrapText="0" indent="0" justifyLastLine="0" shrinkToFit="0" readingOrder="0"/>
      <border diagonalUp="0" diagonalDown="0" outline="0">
        <left/>
        <right/>
        <top/>
        <bottom/>
      </border>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name val="Calibri"/>
        <scheme val="none"/>
      </font>
      <alignment vertical="top" textRotation="0" indent="0" justifyLastLine="0" shrinkToFit="0" readingOrder="0"/>
    </dxf>
  </dxfs>
  <tableStyles count="0" defaultTableStyle="TableStyleMedium2" defaultPivotStyle="PivotStyleMedium9"/>
  <colors>
    <mruColors>
      <color rgb="FF00FF00"/>
      <color rgb="FFFFFF66"/>
      <color rgb="FFFF3399"/>
      <color rgb="FFFF33CC"/>
      <color rgb="FF0000FF"/>
      <color rgb="FFFFCC00"/>
      <color rgb="FFFF66CC"/>
      <color rgb="FF9966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9525</xdr:rowOff>
        </xdr:from>
        <xdr:to>
          <xdr:col>1</xdr:col>
          <xdr:colOff>1076325</xdr:colOff>
          <xdr:row>0</xdr:row>
          <xdr:rowOff>571500</xdr:rowOff>
        </xdr:to>
        <xdr:sp macro="" textlink="">
          <xdr:nvSpPr>
            <xdr:cNvPr id="63489" name="Button 1" hidden="1">
              <a:extLst>
                <a:ext uri="{63B3BB69-23CF-44E3-9099-C40C66FF867C}">
                  <a14:compatExt spid="_x0000_s63489"/>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Duomenų tvarkymas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757237</xdr:colOff>
      <xdr:row>1</xdr:row>
      <xdr:rowOff>109535</xdr:rowOff>
    </xdr:to>
    <xdr:sp macro="[0]!Atstatyti" textlink="">
      <xdr:nvSpPr>
        <xdr:cNvPr id="2" name="U-Turn Arrow 1">
          <a:extLst>
            <a:ext uri="{FF2B5EF4-FFF2-40B4-BE49-F238E27FC236}">
              <a16:creationId xmlns:a16="http://schemas.microsoft.com/office/drawing/2014/main" id="{00000000-0008-0000-0100-000002000000}"/>
            </a:ext>
          </a:extLst>
        </xdr:cNvPr>
        <xdr:cNvSpPr/>
      </xdr:nvSpPr>
      <xdr:spPr>
        <a:xfrm rot="5400000">
          <a:off x="228601" y="-228601"/>
          <a:ext cx="300035" cy="757237"/>
        </a:xfrm>
        <a:prstGeom prst="utur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lt-LT" sz="1100">
            <a:solidFill>
              <a:schemeClr val="tx1"/>
            </a:solidFill>
          </a:endParaRPr>
        </a:p>
      </xdr:txBody>
    </xdr:sp>
    <xdr:clientData/>
  </xdr:twoCellAnchor>
  <mc:AlternateContent xmlns:mc="http://schemas.openxmlformats.org/markup-compatibility/2006">
    <mc:Choice xmlns:a14="http://schemas.microsoft.com/office/drawing/2010/main" Requires="a14">
      <xdr:twoCellAnchor>
        <xdr:from>
          <xdr:col>6</xdr:col>
          <xdr:colOff>228600</xdr:colOff>
          <xdr:row>0</xdr:row>
          <xdr:rowOff>0</xdr:rowOff>
        </xdr:from>
        <xdr:to>
          <xdr:col>8</xdr:col>
          <xdr:colOff>285750</xdr:colOff>
          <xdr:row>1</xdr:row>
          <xdr:rowOff>180975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Įkelti į apskaitą</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2218764" y="0"/>
    <xdr:ext cx="8057029" cy="1905000"/>
    <mc:AlternateContent xmlns:mc="http://schemas.openxmlformats.org/markup-compatibility/2006" xmlns:sle15="http://schemas.microsoft.com/office/drawing/2012/slicer">
      <mc:Choice Requires="sle15">
        <xdr:graphicFrame macro="">
          <xdr:nvGraphicFramePr>
            <xdr:cNvPr id="3" name="Projektas 3">
              <a:extLst>
                <a:ext uri="{FF2B5EF4-FFF2-40B4-BE49-F238E27FC236}">
                  <a16:creationId xmlns:a16="http://schemas.microsoft.com/office/drawing/2014/main" id="{00000000-0008-0000-02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jektas 3"/>
            </a:graphicData>
          </a:graphic>
        </xdr:graphicFrame>
      </mc:Choice>
      <mc:Fallback xmlns="">
        <xdr:sp macro="" textlink="">
          <xdr:nvSpPr>
            <xdr:cNvPr id="0" name=""/>
            <xdr:cNvSpPr>
              <a:spLocks noTextEdit="1"/>
            </xdr:cNvSpPr>
          </xdr:nvSpPr>
          <xdr:spPr>
            <a:xfrm>
              <a:off x="2218764" y="0"/>
              <a:ext cx="8057029" cy="1905000"/>
            </a:xfrm>
            <a:prstGeom prst="rect">
              <a:avLst/>
            </a:prstGeom>
            <a:solidFill>
              <a:prstClr val="white"/>
            </a:solidFill>
            <a:ln w="1">
              <a:solidFill>
                <a:prstClr val="green"/>
              </a:solidFill>
            </a:ln>
          </xdr:spPr>
          <xdr:txBody>
            <a:bodyPr vertOverflow="clip" horzOverflow="clip"/>
            <a:lstStyle/>
            <a:p>
              <a:r>
                <a:rPr lang="lt-LT"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absoluteAnchor>
  <xdr:absoluteAnchor>
    <xdr:pos x="12573000" y="952500"/>
    <xdr:ext cx="1260000" cy="952500"/>
    <mc:AlternateContent xmlns:mc="http://schemas.openxmlformats.org/markup-compatibility/2006" xmlns:sle15="http://schemas.microsoft.com/office/drawing/2012/slicer">
      <mc:Choice Requires="sle15">
        <xdr:graphicFrame macro="">
          <xdr:nvGraphicFramePr>
            <xdr:cNvPr id="4" name="Naujas kodas">
              <a:extLst>
                <a:ext uri="{FF2B5EF4-FFF2-40B4-BE49-F238E27FC236}">
                  <a16:creationId xmlns:a16="http://schemas.microsoft.com/office/drawing/2014/main" id="{00000000-0008-0000-0200-00000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Naujas kodas"/>
            </a:graphicData>
          </a:graphic>
        </xdr:graphicFrame>
      </mc:Choice>
      <mc:Fallback xmlns="">
        <xdr:sp macro="" textlink="">
          <xdr:nvSpPr>
            <xdr:cNvPr id="0" name=""/>
            <xdr:cNvSpPr>
              <a:spLocks noTextEdit="1"/>
            </xdr:cNvSpPr>
          </xdr:nvSpPr>
          <xdr:spPr>
            <a:xfrm>
              <a:off x="12573000" y="952500"/>
              <a:ext cx="1260000" cy="952500"/>
            </a:xfrm>
            <a:prstGeom prst="rect">
              <a:avLst/>
            </a:prstGeom>
            <a:solidFill>
              <a:prstClr val="white"/>
            </a:solidFill>
            <a:ln w="1">
              <a:solidFill>
                <a:prstClr val="green"/>
              </a:solidFill>
            </a:ln>
          </xdr:spPr>
          <xdr:txBody>
            <a:bodyPr vertOverflow="clip" horzOverflow="clip"/>
            <a:lstStyle/>
            <a:p>
              <a:r>
                <a:rPr lang="lt-LT"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absoluteAnchor>
  <xdr:twoCellAnchor>
    <xdr:from>
      <xdr:col>1</xdr:col>
      <xdr:colOff>611605</xdr:colOff>
      <xdr:row>12</xdr:row>
      <xdr:rowOff>15038</xdr:rowOff>
    </xdr:from>
    <xdr:to>
      <xdr:col>1</xdr:col>
      <xdr:colOff>1541504</xdr:colOff>
      <xdr:row>12</xdr:row>
      <xdr:rowOff>231038</xdr:rowOff>
    </xdr:to>
    <xdr:sp macro="[0]!PaleidimuFiltras" textlink="">
      <xdr:nvSpPr>
        <xdr:cNvPr id="11" name="Rounded Rectangle 10" descr="Filtruoti aktyvaus langelio paleidimą">
          <a:extLst>
            <a:ext uri="{FF2B5EF4-FFF2-40B4-BE49-F238E27FC236}">
              <a16:creationId xmlns:a16="http://schemas.microsoft.com/office/drawing/2014/main" id="{00000000-0008-0000-0200-00000B000000}"/>
            </a:ext>
          </a:extLst>
        </xdr:cNvPr>
        <xdr:cNvSpPr/>
      </xdr:nvSpPr>
      <xdr:spPr>
        <a:xfrm>
          <a:off x="1390923" y="2482879"/>
          <a:ext cx="929899" cy="216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36000" tIns="36000" rIns="36000" bIns="36000" rtlCol="0" anchor="ctr" anchorCtr="1"/>
        <a:lstStyle/>
        <a:p>
          <a:pPr marL="0" marR="0" indent="0" algn="ctr" defTabSz="914400" eaLnBrk="1" fontAlgn="auto" latinLnBrk="0" hangingPunct="1">
            <a:lnSpc>
              <a:spcPct val="100000"/>
            </a:lnSpc>
            <a:spcBef>
              <a:spcPts val="0"/>
            </a:spcBef>
            <a:spcAft>
              <a:spcPts val="0"/>
            </a:spcAft>
            <a:buClrTx/>
            <a:buSzTx/>
            <a:buFontTx/>
            <a:buNone/>
            <a:tabLst/>
            <a:defRPr/>
          </a:pPr>
          <a:r>
            <a:rPr lang="lt-LT" sz="900" b="1" u="none">
              <a:solidFill>
                <a:schemeClr val="lt1"/>
              </a:solidFill>
              <a:effectLst/>
              <a:latin typeface="+mn-lt"/>
              <a:ea typeface="+mn-ea"/>
              <a:cs typeface="+mn-cs"/>
            </a:rPr>
            <a:t>FILTR_PALEIDIMAI</a:t>
          </a:r>
          <a:endParaRPr lang="lt-LT" b="1" u="none">
            <a:effectLst/>
          </a:endParaRPr>
        </a:p>
      </xdr:txBody>
    </xdr:sp>
    <xdr:clientData/>
  </xdr:twoCellAnchor>
  <xdr:twoCellAnchor>
    <xdr:from>
      <xdr:col>3</xdr:col>
      <xdr:colOff>1117934</xdr:colOff>
      <xdr:row>12</xdr:row>
      <xdr:rowOff>15040</xdr:rowOff>
    </xdr:from>
    <xdr:to>
      <xdr:col>3</xdr:col>
      <xdr:colOff>1913049</xdr:colOff>
      <xdr:row>12</xdr:row>
      <xdr:rowOff>231040</xdr:rowOff>
    </xdr:to>
    <xdr:sp macro="[0]!KodoFiltras" textlink="">
      <xdr:nvSpPr>
        <xdr:cNvPr id="12" name="Rounded Rectangle 11" descr="Filtruoti aktyvaus langelio paleidimą">
          <a:extLst>
            <a:ext uri="{FF2B5EF4-FFF2-40B4-BE49-F238E27FC236}">
              <a16:creationId xmlns:a16="http://schemas.microsoft.com/office/drawing/2014/main" id="{00000000-0008-0000-0200-00000C000000}"/>
            </a:ext>
          </a:extLst>
        </xdr:cNvPr>
        <xdr:cNvSpPr/>
      </xdr:nvSpPr>
      <xdr:spPr>
        <a:xfrm>
          <a:off x="5746218" y="2482881"/>
          <a:ext cx="795115" cy="216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36000" tIns="36000" rIns="36000" bIns="36000" rtlCol="0" anchor="ctr" anchorCtr="1"/>
        <a:lstStyle/>
        <a:p>
          <a:pPr marL="0" marR="0" indent="0" algn="ctr" defTabSz="914400" eaLnBrk="1" fontAlgn="auto" latinLnBrk="0" hangingPunct="1">
            <a:lnSpc>
              <a:spcPct val="100000"/>
            </a:lnSpc>
            <a:spcBef>
              <a:spcPts val="0"/>
            </a:spcBef>
            <a:spcAft>
              <a:spcPts val="0"/>
            </a:spcAft>
            <a:buClrTx/>
            <a:buSzTx/>
            <a:buFontTx/>
            <a:buNone/>
            <a:tabLst/>
            <a:defRPr/>
          </a:pPr>
          <a:r>
            <a:rPr lang="lt-LT" sz="900" b="1" u="none">
              <a:solidFill>
                <a:schemeClr val="lt1"/>
              </a:solidFill>
              <a:effectLst/>
              <a:latin typeface="+mn-lt"/>
              <a:ea typeface="+mn-ea"/>
              <a:cs typeface="+mn-cs"/>
            </a:rPr>
            <a:t>FILTR_KODAS</a:t>
          </a:r>
          <a:endParaRPr lang="lt-LT" b="1" u="none">
            <a:effectLst/>
          </a:endParaRPr>
        </a:p>
      </xdr:txBody>
    </xdr:sp>
    <xdr:clientData/>
  </xdr:twoCellAnchor>
  <xdr:absoluteAnchor>
    <xdr:pos x="4628028" y="1927413"/>
    <xdr:ext cx="605119" cy="403412"/>
    <xdr:pic macro="[0]!ParuostiDuomenuSuvedimui">
      <xdr:nvPicPr>
        <xdr:cNvPr id="13" name="Picture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1"/>
        <a:stretch>
          <a:fillRect/>
        </a:stretch>
      </xdr:blipFill>
      <xdr:spPr>
        <a:xfrm>
          <a:off x="4628028" y="1927413"/>
          <a:ext cx="605119" cy="403412"/>
        </a:xfrm>
        <a:prstGeom prst="rect">
          <a:avLst/>
        </a:prstGeom>
        <a:ln w="22225" cmpd="sng">
          <a:solidFill>
            <a:schemeClr val="tx1"/>
          </a:solidFill>
        </a:ln>
      </xdr:spPr>
    </xdr:pic>
    <xdr:clientData/>
  </xdr:absoluteAnchor>
  <mc:AlternateContent xmlns:mc="http://schemas.openxmlformats.org/markup-compatibility/2006">
    <mc:Choice xmlns:a14="http://schemas.microsoft.com/office/drawing/2010/main" Requires="a14">
      <xdr:twoCellAnchor>
        <xdr:from>
          <xdr:col>9</xdr:col>
          <xdr:colOff>2028825</xdr:colOff>
          <xdr:row>0</xdr:row>
          <xdr:rowOff>0</xdr:rowOff>
        </xdr:from>
        <xdr:to>
          <xdr:col>9</xdr:col>
          <xdr:colOff>3228975</xdr:colOff>
          <xdr:row>4</xdr:row>
          <xdr:rowOff>57150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Rėmelis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xdr:row>
          <xdr:rowOff>0</xdr:rowOff>
        </xdr:from>
        <xdr:to>
          <xdr:col>2</xdr:col>
          <xdr:colOff>0</xdr:colOff>
          <xdr:row>12</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1" i="0" u="none" strike="noStrike" baseline="0">
                  <a:solidFill>
                    <a:srgbClr val="008000"/>
                  </a:solidFill>
                  <a:latin typeface="Calibri"/>
                  <a:cs typeface="Calibri"/>
                </a:rPr>
                <a:t>Įkėlimo data laikas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10</xdr:row>
          <xdr:rowOff>0</xdr:rowOff>
        </xdr:from>
        <xdr:to>
          <xdr:col>7</xdr:col>
          <xdr:colOff>0</xdr:colOff>
          <xdr:row>12</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1" i="0" u="none" strike="noStrike" baseline="0">
                  <a:solidFill>
                    <a:srgbClr val="008000"/>
                  </a:solidFill>
                  <a:latin typeface="Calibri"/>
                  <a:cs typeface="Calibri"/>
                </a:rPr>
                <a:t>Išdavimo data laikas</a:t>
              </a:r>
            </a:p>
          </xdr:txBody>
        </xdr:sp>
        <xdr:clientData fPrintsWithSheet="0"/>
      </xdr:twoCellAnchor>
    </mc:Choice>
    <mc:Fallback/>
  </mc:AlternateContent>
  <xdr:absoluteAnchor>
    <xdr:pos x="15912353" y="0"/>
    <xdr:ext cx="3440205" cy="2286000"/>
    <mc:AlternateContent xmlns:mc="http://schemas.openxmlformats.org/markup-compatibility/2006" xmlns:sle15="http://schemas.microsoft.com/office/drawing/2012/slicer">
      <mc:Choice Requires="sle15">
        <xdr:graphicFrame macro="">
          <xdr:nvGraphicFramePr>
            <xdr:cNvPr id="6" name="Paleidimai">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Paleidimai"/>
            </a:graphicData>
          </a:graphic>
        </xdr:graphicFrame>
      </mc:Choice>
      <mc:Fallback xmlns="">
        <xdr:sp macro="" textlink="">
          <xdr:nvSpPr>
            <xdr:cNvPr id="0" name=""/>
            <xdr:cNvSpPr>
              <a:spLocks noTextEdit="1"/>
            </xdr:cNvSpPr>
          </xdr:nvSpPr>
          <xdr:spPr>
            <a:xfrm>
              <a:off x="15164207" y="0"/>
              <a:ext cx="4188352" cy="2286000"/>
            </a:xfrm>
            <a:prstGeom prst="rect">
              <a:avLst/>
            </a:prstGeom>
            <a:solidFill>
              <a:prstClr val="white"/>
            </a:solidFill>
            <a:ln w="1">
              <a:solidFill>
                <a:prstClr val="green"/>
              </a:solidFill>
            </a:ln>
          </xdr:spPr>
          <xdr:txBody>
            <a:bodyPr vertOverflow="clip" horzOverflow="clip"/>
            <a:lstStyle/>
            <a:p>
              <a:r>
                <a:rPr lang="lt-LT"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absoluteAnchor>
  <xdr:absoluteAnchor>
    <xdr:pos x="20383499" y="1905000"/>
    <xdr:ext cx="605119" cy="380999"/>
    <xdr:pic macro="[0]!ParuostiDuomenuSuvedimui">
      <xdr:nvPicPr>
        <xdr:cNvPr id="18" name="Picture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stretch>
          <a:fillRect/>
        </a:stretch>
      </xdr:blipFill>
      <xdr:spPr>
        <a:xfrm>
          <a:off x="20383499" y="1905000"/>
          <a:ext cx="605119" cy="380999"/>
        </a:xfrm>
        <a:prstGeom prst="rect">
          <a:avLst/>
        </a:prstGeom>
        <a:ln w="22225" cmpd="sng">
          <a:solidFill>
            <a:schemeClr val="tx1"/>
          </a:solidFill>
        </a:ln>
      </xdr:spPr>
    </xdr:pic>
    <xdr:clientData/>
  </xdr:absoluteAnchor>
  <xdr:absoluteAnchor>
    <xdr:pos x="14253882" y="1905000"/>
    <xdr:ext cx="605119" cy="380999"/>
    <xdr:pic macro="[0]!ParuostiDuomenuSuvedimui">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
        <a:stretch>
          <a:fillRect/>
        </a:stretch>
      </xdr:blipFill>
      <xdr:spPr>
        <a:xfrm>
          <a:off x="14253882" y="1905000"/>
          <a:ext cx="605119" cy="380999"/>
        </a:xfrm>
        <a:prstGeom prst="rect">
          <a:avLst/>
        </a:prstGeom>
        <a:ln w="22225" cmpd="sng">
          <a:solidFill>
            <a:schemeClr val="tx1"/>
          </a:solidFill>
        </a:ln>
      </xdr:spPr>
    </xdr:pic>
    <xdr:clientData/>
  </xdr:absoluteAnchor>
  <mc:AlternateContent xmlns:mc="http://schemas.openxmlformats.org/markup-compatibility/2006">
    <mc:Choice xmlns:a14="http://schemas.microsoft.com/office/drawing/2010/main" Requires="a14">
      <xdr:twoCellAnchor>
        <xdr:from>
          <xdr:col>15</xdr:col>
          <xdr:colOff>228600</xdr:colOff>
          <xdr:row>10</xdr:row>
          <xdr:rowOff>0</xdr:rowOff>
        </xdr:from>
        <xdr:to>
          <xdr:col>16</xdr:col>
          <xdr:colOff>609600</xdr:colOff>
          <xdr:row>12</xdr:row>
          <xdr:rowOff>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Qgmp.</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1076325</xdr:colOff>
          <xdr:row>0</xdr:row>
          <xdr:rowOff>571500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Duomenų tvarkymas</a:t>
              </a:r>
            </a:p>
          </xdr:txBody>
        </xdr:sp>
        <xdr:clientData fPrintsWithSheet="0"/>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jektas11" sourceName="Projektas">
  <extLst>
    <x:ext xmlns:x15="http://schemas.microsoft.com/office/spreadsheetml/2010/11/main" uri="{2F2917AC-EB37-4324-AD4E-5DD8C200BD13}">
      <x15:tableSlicerCache tableId="1" column="7"/>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Naujas_kodas" sourceName="Naujas kodas">
  <extLst>
    <x:ext xmlns:x15="http://schemas.microsoft.com/office/spreadsheetml/2010/11/main" uri="{2F2917AC-EB37-4324-AD4E-5DD8C200BD13}">
      <x15:tableSlicerCache tableId="1" column="6"/>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aleidimai" sourceName="Paleidimai">
  <extLst>
    <x:ext xmlns:x15="http://schemas.microsoft.com/office/spreadsheetml/2010/11/main" uri="{2F2917AC-EB37-4324-AD4E-5DD8C200BD13}">
      <x15:tableSlicerCache tableId="1" column="18"/>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jektas 3" cache="Slicer_Projektas11" caption="Projektas" columnCount="7" lockedPosition="1" rowHeight="198000"/>
  <slicer name="Naujas kodas" cache="Slicer_Naujas_kodas" caption="Naujas kodas" lockedPosition="1" rowHeight="252000"/>
  <slicer name="Paleidimai" cache="Slicer_Paleidimai" caption="Paleidimai" rowHeight="180000"/>
</slicers>
</file>

<file path=xl/tables/table1.xml><?xml version="1.0" encoding="utf-8"?>
<table xmlns="http://schemas.openxmlformats.org/spreadsheetml/2006/main" id="2" name="KODU_GRUPAVIMAS" displayName="KODU_GRUPAVIMAS" ref="A3:V8" totalsRowShown="0">
  <autoFilter ref="A3:V8"/>
  <sortState ref="A4:V500">
    <sortCondition ref="A3:A500"/>
  </sortState>
  <tableColumns count="22">
    <tableColumn id="3" name="Sort">
      <calculatedColumnFormula>IF(KODU_GRUPAVIMAS[[#This Row],[Row]]="",IF(KODU_GRUPAVIMAS[[#This Row],[Projektas]]="Naujas kodas",$B$2+(KODU_GRUPAVIMAS[[#This Row],[Nauji kodai]]/10),IF(KODU_GRUPAVIMAS[[#This Row],[Kodas]]&lt;&gt;"",$B$2+$J$2+2,IF(KODU_GRUPAVIMAS[[#This Row],[Pastabos]]&lt;&gt;"",$B$2+$J$2+3,10000))),KODU_GRUPAVIMAS[[#This Row],[Row]])</calculatedColumnFormula>
    </tableColumn>
    <tableColumn id="2" name="Row">
      <calculatedColumnFormula>IF(ISERROR(VLOOKUP(KODU_GRUPAVIMAS[[#This Row],[Kodas]],#REF!,COUNTA(#REF!),0)),"",VLOOKUP(KODU_GRUPAVIMAS[[#This Row],[Kodas]],#REF!,COUNTA(#REF!),0))</calculatedColumnFormula>
    </tableColumn>
    <tableColumn id="11" name="Data-Laikas">
      <calculatedColumnFormula>$C$2</calculatedColumnFormula>
    </tableColumn>
    <tableColumn id="10" name="Paleidimas">
      <calculatedColumnFormula>$D$2</calculatedColumnFormula>
    </tableColumn>
    <tableColumn id="8" name="Projektas">
      <calculatedColumnFormula>IF(ISERROR(VLOOKUP(KODU_GRUPAVIMAS[[#This Row],[Kodas]],#REF!,COUNTA(#REF!),0)),IF(KODU_GRUPAVIMAS[[#This Row],[Nauji kodai]]&gt;0,"Naujas kodas",""),VLOOKUP(KODU_GRUPAVIMAS[[#This Row],[Kodas]],#REF!,COUNTA(#REF!),0))</calculatedColumnFormula>
    </tableColumn>
    <tableColumn id="1" name="Kodas"/>
    <tableColumn id="4" name="Kiekis"/>
    <tableColumn id="7" name="Pastabos"/>
    <tableColumn id="5" name="Naudingos eilutės">
      <calculatedColumnFormula>IF(KODU_GRUPAVIMAS[[#This Row],[Row]]&lt;&gt;"",1,0)</calculatedColumnFormula>
    </tableColumn>
    <tableColumn id="6" name="Nauji kodai">
      <calculatedColumnFormula>SUM(KODU_GRUPAVIMAS[[#This Row],[G_VW]:[VRZ_]])</calculatedColumnFormula>
    </tableColumn>
    <tableColumn id="12" name="Tipas1">
      <calculatedColumnFormula>VLOOKUP(KODU_GRUPAVIMAS[[#This Row],[Kodas]],#REF!,COUNTA(#REF!),0)</calculatedColumnFormula>
    </tableColumn>
    <tableColumn id="15" name="G_VW">
      <calculatedColumnFormula>IF(AND(LEFT($F4,LEN(KODU_GRUPAVIMAS[[#Headers],[G_VW]]))=KODU_GRUPAVIMAS[[#Headers],[G_VW]],$B4=""),COLUMN()-$L$1+1,0)</calculatedColumnFormula>
    </tableColumn>
    <tableColumn id="16" name="G_VR">
      <calculatedColumnFormula>IF(AND(LEFT($F4,LEN(KODU_GRUPAVIMAS[[#Headers],[G_VR]]))=KODU_GRUPAVIMAS[[#Headers],[G_VR]],$B4=""),COLUMN()-$L$1+1,0)</calculatedColumnFormula>
    </tableColumn>
    <tableColumn id="17" name="G_MDF_">
      <calculatedColumnFormula>IF(AND(LEFT($F4,LEN(KODU_GRUPAVIMAS[[#Headers],[G_MDF_]]))=KODU_GRUPAVIMAS[[#Headers],[G_MDF_]],$B4=""),COLUMN()-$L$1+1,0)</calculatedColumnFormula>
    </tableColumn>
    <tableColumn id="18" name="PAK_GK3">
      <calculatedColumnFormula>IF(AND(LEFT($F4,LEN(KODU_GRUPAVIMAS[[#Headers],[PAK_GK3]]))=KODU_GRUPAVIMAS[[#Headers],[PAK_GK3]],$B4=""),COLUMN()-$L$1+1,0)</calculatedColumnFormula>
    </tableColumn>
    <tableColumn id="29" name="PAK_GK5">
      <calculatedColumnFormula>IF(AND(LEFT($F4,LEN(KODU_GRUPAVIMAS[[#Headers],[PAK_GK5]]))=KODU_GRUPAVIMAS[[#Headers],[PAK_GK5]],$B4=""),COLUMN()-$L$1+1,0)</calculatedColumnFormula>
    </tableColumn>
    <tableColumn id="30" name="G_STK_">
      <calculatedColumnFormula>IF(AND(LEFT($F4,LEN(KODU_GRUPAVIMAS[[#Headers],[G_STK_]]))=KODU_GRUPAVIMAS[[#Headers],[G_STK_]],$B4=""),COLUMN()-$L$1+1,0)</calculatedColumnFormula>
    </tableColumn>
    <tableColumn id="31" name="G_VDR_">
      <calculatedColumnFormula>IF(AND(LEFT($F4,LEN(KODU_GRUPAVIMAS[[#Headers],[G_VDR_]]))=KODU_GRUPAVIMAS[[#Headers],[G_VDR_]],$B4=""),COLUMN()-$L$1+1,0)</calculatedColumnFormula>
    </tableColumn>
    <tableColumn id="32" name="PAK_SI_">
      <calculatedColumnFormula>IF(AND(LEFT($F4,LEN(KODU_GRUPAVIMAS[[#Headers],[PAK_SI_]]))=KODU_GRUPAVIMAS[[#Headers],[PAK_SI_]],$B4=""),COLUMN()-$L$1+1,0)</calculatedColumnFormula>
    </tableColumn>
    <tableColumn id="33" name="PAK_PP">
      <calculatedColumnFormula>IF(AND(LEFT($F4,LEN(KODU_GRUPAVIMAS[[#Headers],[PAK_PP]]))=KODU_GRUPAVIMAS[[#Headers],[PAK_PP]],$B4=""),COLUMN()-$L$1+1,0)</calculatedColumnFormula>
    </tableColumn>
    <tableColumn id="19" name="FUR_">
      <calculatedColumnFormula>IF(AND(LEFT($F4,LEN(KODU_GRUPAVIMAS[[#Headers],[FUR_]]))=KODU_GRUPAVIMAS[[#Headers],[FUR_]],$B4=""),COLUMN()-$L$1+1,0)</calculatedColumnFormula>
    </tableColumn>
    <tableColumn id="9" name="VRZ_">
      <calculatedColumnFormula>IF(AND(LEFT($F4,LEN(KODU_GRUPAVIMAS[[#Headers],[VRZ_]]))=KODU_GRUPAVIMAS[[#Headers],[VRZ_]],$B4=""),COLUMN()-$L$1+1,0)</calculatedColumnFormula>
    </tableColumn>
  </tableColumns>
  <tableStyleInfo showFirstColumn="0" showLastColumn="0" showRowStripes="0" showColumnStripes="0"/>
</table>
</file>

<file path=xl/tables/table2.xml><?xml version="1.0" encoding="utf-8"?>
<table xmlns="http://schemas.openxmlformats.org/spreadsheetml/2006/main" id="12" name="KopijavimoDuomenys" displayName="KopijavimoDuomenys" ref="AA2:AI8" totalsRowShown="0">
  <autoFilter ref="AA2:AI8"/>
  <tableColumns count="9">
    <tableColumn id="1" name="Data_Įkelta">
      <calculatedColumnFormula>$C$2</calculatedColumnFormula>
    </tableColumn>
    <tableColumn id="6" name="Paleidimai">
      <calculatedColumnFormula>$D$2</calculatedColumnFormula>
    </tableColumn>
    <tableColumn id="3" name="Projektas">
      <calculatedColumnFormula>KODU_GRUPAVIMAS[[#This Row],[Projektas]]</calculatedColumnFormula>
    </tableColumn>
    <tableColumn id="4" name="Kodas">
      <calculatedColumnFormula>IF(KODU_GRUPAVIMAS[[#This Row],[Kodas]]="","",KODU_GRUPAVIMAS[[#This Row],[Kodas]])</calculatedColumnFormula>
    </tableColumn>
    <tableColumn id="5" name="Poreikis">
      <calculatedColumnFormula>-KODU_GRUPAVIMAS[[#This Row],[Kiekis]]</calculatedColumnFormula>
    </tableColumn>
    <tableColumn id="8" name="Išduota"/>
    <tableColumn id="9" name="Data-"/>
    <tableColumn id="2" name="Pastabos"/>
    <tableColumn id="7" name="Rankinis">
      <calculatedColumnFormula>IF(KopijavimoDuomenys[[#This Row],[Kodas]]="",0,1)</calculatedColumnFormula>
    </tableColumn>
  </tableColumns>
  <tableStyleInfo showFirstColumn="0" showLastColumn="0" showRowStripes="1" showColumnStripes="0"/>
</table>
</file>

<file path=xl/tables/table3.xml><?xml version="1.0" encoding="utf-8"?>
<table xmlns="http://schemas.openxmlformats.org/spreadsheetml/2006/main" id="18" name="Kriterijai" displayName="Kriterijai" ref="W3:X8" totalsRowShown="0">
  <autoFilter ref="W3:X8"/>
  <tableColumns count="2">
    <tableColumn id="1" name="Kriterijus"/>
    <tableColumn id="4" name="Grupė"/>
  </tableColumns>
  <tableStyleInfo showFirstColumn="0" showLastColumn="0" showRowStripes="1" showColumnStripes="0"/>
</table>
</file>

<file path=xl/tables/table4.xml><?xml version="1.0" encoding="utf-8"?>
<table xmlns="http://schemas.openxmlformats.org/spreadsheetml/2006/main" id="1" name="APSKAITA" displayName="APSKAITA" ref="A13:V22" totalsRowDxfId="24">
  <autoFilter ref="A13:V22"/>
  <tableColumns count="22">
    <tableColumn id="5" name="Data_Įkelta" totalsRowLabel="Total" totalsRowDxfId="23"/>
    <tableColumn id="18" name="Paleidimai" totalsRowDxfId="22"/>
    <tableColumn id="7" name="Projektas" totalsRowDxfId="21"/>
    <tableColumn id="1" name="Kodas" totalsRowDxfId="20"/>
    <tableColumn id="30" name="Poreikis"/>
    <tableColumn id="23" name="Išduota"/>
    <tableColumn id="32" name="Data_Išduota" dataDxfId="0"/>
    <tableColumn id="11" name="Pastabos" totalsRowDxfId="19"/>
    <tableColumn id="13" name="Pokas" totalsRowDxfId="18">
      <calculatedColumnFormula>CONCATENATE(VLOOKUP(APSKAITA[[#This Row],[Kodas]],#REF!,COUNTA(#REF!),0),"i:",VLOOKUP(APSKAITA[[#This Row],[Kodas]],#REF!,COUNTA(#REF!),0),"")</calculatedColumnFormula>
    </tableColumn>
    <tableColumn id="10" name="A_Kodas" totalsRowDxfId="17">
      <calculatedColumnFormula>IF(ISERROR(VLOOKUP(APSKAITA[[#This Row],[Kodas]],#REF!,1,0)),(VLOOKUP(APSKAITA[[#This Row],[Kodas]],#REF!,COUNTA(#REF!),0)),VLOOKUP(APSKAITA[[#This Row],[Kodas]],#REF!,COUNTA(#REF!),0))</calculatedColumnFormula>
    </tableColumn>
    <tableColumn id="9" name="Projektas2" totalsRowDxfId="16">
      <calculatedColumnFormula>VLOOKUP(APSKAITA[[#This Row],[Kodas]],#REF!,COUNTA(#REF!),0)</calculatedColumnFormula>
    </tableColumn>
    <tableColumn id="25" name="BLOK_MOVE" totalsRowDxfId="15">
      <calculatedColumnFormula>IF(#REF!="","",IF(#REF!&gt;0,CONCATENATE(VLOOKUP(APSKAITA[[#This Row],[Kodas]],#REF!,2,0),"↑",ROW()-VLOOKUP(APSKAITA[[#This Row],[Kodas]],#REF!,COUNTA(#REF!),0)),CONCATENATE(VLOOKUP(APSKAITA[[#This Row],[Kodas]],#REF!,COUNTA(#REF!),0))))</calculatedColumnFormula>
    </tableColumn>
    <tableColumn id="2" name="Prieš">
      <calculatedColumnFormula>SUMIF(INDIRECT("D$1:D"&amp;ROW()),APSKAITA[[#This Row],[Kodas]],INDIRECT("AD$1:AD"&amp;ROW()))-#REF!</calculatedColumnFormula>
    </tableColumn>
    <tableColumn id="31" name="Balansas">
      <calculatedColumnFormula>IF(#REF!-APSKAITA[[#This Row],[Poreikis]]=0,"",#REF!-APSKAITA[[#This Row],[Poreikis]])</calculatedColumnFormula>
    </tableColumn>
    <tableColumn id="4" name="Po">
      <calculatedColumnFormula>SUMIF(INDIRECT("D$1:D"&amp;ROW()),APSKAITA[[#This Row],[Kodas]],INDIRECT("AD$1:AD"&amp;ROW()))</calculatedColumnFormula>
    </tableColumn>
    <tableColumn id="29" name="Galutinis likutis">
      <calculatedColumnFormula>SUMIF(APSKAITA[Kodas],APSKAITA[[#This Row],[Kodas]],#REF!)</calculatedColumnFormula>
    </tableColumn>
    <tableColumn id="6" name="Naujas kodas">
      <calculatedColumnFormula>IF(APSKAITA[[#This Row],[Kodas]]="","",IF(ISERROR(VLOOKUP(APSKAITA[[#This Row],[Kodas]],#REF!,1,0)),"Naujas kodas",""))</calculatedColumnFormula>
    </tableColumn>
    <tableColumn id="34" name="BLOK_Nariai">
      <calculatedColumnFormula>COUNTIF(APSKAITA[BLOK_Nr],APSKAITA[BLOK_Nr])</calculatedColumnFormula>
    </tableColumn>
    <tableColumn id="35" name="BLOK_Nr">
      <calculatedColumnFormula>IF(OFFSET(#REF!,-1,0)=#REF!,1,IF(#REF!=OFFSET(#REF!,-1,0),OFFSET(APSKAITA[[#This Row],[BLOK_Nr]],-1,0),OFFSET(APSKAITA[[#This Row],[BLOK_Nr]],-1,0)+1))</calculatedColumnFormula>
    </tableColumn>
    <tableColumn id="15" name="Data_" totalsRowDxfId="14">
      <calculatedColumnFormula>IF(APSKAITA[[#This Row],[Data_Įkelta]]="","",IF(APSKAITA[[#This Row],[Data_Įkelta]]&lt;NOW()-1,TEXT(APSKAITA[[#This Row],[Data_Įkelta]],"mm.dd"),TEXT(APSKAITA[[#This Row],[Data_Įkelta]],"hh:mm")))</calculatedColumnFormula>
    </tableColumn>
    <tableColumn id="28" name="Paleidimai_" totalsRowDxfId="13">
      <calculatedColumnFormula>APSKAITA[[#This Row],[Paleidimai]]</calculatedColumnFormula>
    </tableColumn>
    <tableColumn id="8" name="Projektas_" totalsRowDxfId="12">
      <calculatedColumnFormula>APSKAITA[[#This Row],[Projektas]]&amp;" "</calculatedColumnFormula>
    </tableColumn>
  </tableColumns>
  <tableStyleInfo name="TableStyleLight14"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3.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10" Type="http://schemas.openxmlformats.org/officeDocument/2006/relationships/comments" Target="../comments3.xml"/><Relationship Id="rId4" Type="http://schemas.openxmlformats.org/officeDocument/2006/relationships/ctrlProp" Target="../ctrlProps/ctrlProp3.xml"/><Relationship Id="rId9"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B0F0"/>
  </sheetPr>
  <dimension ref="A1:H2"/>
  <sheetViews>
    <sheetView zoomScaleNormal="100" workbookViewId="0">
      <pane ySplit="1" topLeftCell="A2" activePane="bottomLeft" state="frozen"/>
      <selection activeCell="A2" sqref="A2"/>
      <selection pane="bottomLeft" activeCell="B2" sqref="B2"/>
    </sheetView>
  </sheetViews>
  <sheetFormatPr defaultColWidth="21.85546875" defaultRowHeight="15" x14ac:dyDescent="0.25"/>
  <cols>
    <col min="1" max="1" width="15.28515625" bestFit="1" customWidth="1"/>
    <col min="2" max="2" width="61.42578125" bestFit="1" customWidth="1"/>
    <col min="3" max="3" width="4.85546875" bestFit="1" customWidth="1"/>
    <col min="4" max="4" width="15.5703125" bestFit="1" customWidth="1"/>
    <col min="5" max="5" width="8" bestFit="1" customWidth="1"/>
    <col min="6" max="6" width="10.7109375" bestFit="1" customWidth="1"/>
    <col min="7" max="7" width="12.7109375" bestFit="1" customWidth="1"/>
    <col min="8" max="8" width="13.42578125" bestFit="1" customWidth="1"/>
    <col min="9" max="26" width="25.7109375" customWidth="1"/>
  </cols>
  <sheetData>
    <row r="1" spans="1:8" ht="51" customHeight="1" x14ac:dyDescent="0.25">
      <c r="A1">
        <v>43005.66064814815</v>
      </c>
      <c r="B1" t="s">
        <v>84</v>
      </c>
      <c r="C1" t="s">
        <v>65</v>
      </c>
      <c r="D1" t="s">
        <v>11</v>
      </c>
      <c r="E1" t="s">
        <v>4</v>
      </c>
      <c r="F1" t="s">
        <v>62</v>
      </c>
      <c r="G1" t="s">
        <v>36</v>
      </c>
      <c r="H1" t="s">
        <v>63</v>
      </c>
    </row>
    <row r="2" spans="1:8" x14ac:dyDescent="0.25">
      <c r="A2">
        <f ca="1">OFFSET(A2,0,2)</f>
        <v>0</v>
      </c>
      <c r="B2">
        <f ca="1">OFFSET(B2,0,2)</f>
        <v>0</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DuomenuTvarkymas">
                <anchor moveWithCells="1" sizeWithCells="1">
                  <from>
                    <xdr:col>0</xdr:col>
                    <xdr:colOff>19050</xdr:colOff>
                    <xdr:row>0</xdr:row>
                    <xdr:rowOff>9525</xdr:rowOff>
                  </from>
                  <to>
                    <xdr:col>1</xdr:col>
                    <xdr:colOff>1076325</xdr:colOff>
                    <xdr:row>0</xdr:row>
                    <xdr:rowOff>571500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AJ8"/>
  <sheetViews>
    <sheetView zoomScale="85" zoomScaleNormal="85" zoomScaleSheetLayoutView="115" workbookViewId="0">
      <pane xSplit="2" ySplit="3" topLeftCell="C4" activePane="bottomRight" state="frozen"/>
      <selection pane="topRight" activeCell="C1" sqref="C1"/>
      <selection pane="bottomLeft" activeCell="A4" sqref="A4"/>
      <selection pane="bottomRight" activeCell="F4" sqref="F4"/>
    </sheetView>
  </sheetViews>
  <sheetFormatPr defaultColWidth="9.140625" defaultRowHeight="15" x14ac:dyDescent="0.25"/>
  <cols>
    <col min="1" max="1" width="12.28515625" customWidth="1"/>
    <col min="2" max="2" width="11.140625" bestFit="1" customWidth="1"/>
    <col min="3" max="3" width="18" customWidth="1"/>
    <col min="4" max="4" width="30.140625" customWidth="1"/>
    <col min="5" max="5" width="18.28515625" customWidth="1"/>
    <col min="6" max="6" width="36.7109375" customWidth="1"/>
    <col min="7" max="7" width="9.28515625" customWidth="1"/>
    <col min="8" max="8" width="51" customWidth="1"/>
    <col min="9" max="9" width="7.85546875" customWidth="1"/>
    <col min="10" max="10" width="13.28515625" bestFit="1" customWidth="1"/>
    <col min="11" max="11" width="11.85546875" customWidth="1"/>
    <col min="12" max="12" width="9.28515625" bestFit="1" customWidth="1"/>
    <col min="13" max="13" width="8.5703125" bestFit="1" customWidth="1"/>
    <col min="14" max="14" width="11.28515625" bestFit="1" customWidth="1"/>
    <col min="15" max="16" width="11.7109375" bestFit="1" customWidth="1"/>
    <col min="17" max="17" width="10.42578125" bestFit="1" customWidth="1"/>
    <col min="18" max="18" width="10.85546875" bestFit="1" customWidth="1"/>
    <col min="19" max="22" width="14.7109375" customWidth="1"/>
    <col min="23" max="23" width="30.85546875" bestFit="1" customWidth="1"/>
    <col min="24" max="24" width="19.42578125" bestFit="1" customWidth="1"/>
    <col min="25" max="25" width="6.7109375" customWidth="1"/>
    <col min="26" max="26" width="20.7109375" customWidth="1"/>
    <col min="27" max="27" width="18.28515625" bestFit="1" customWidth="1"/>
    <col min="28" max="28" width="21.42578125" bestFit="1" customWidth="1"/>
    <col min="29" max="29" width="15" customWidth="1"/>
    <col min="30" max="30" width="31.7109375" bestFit="1" customWidth="1"/>
    <col min="31" max="31" width="10.7109375" bestFit="1" customWidth="1"/>
    <col min="32" max="33" width="10.7109375" customWidth="1"/>
    <col min="34" max="34" width="43.42578125" customWidth="1"/>
    <col min="35" max="35" width="22.28515625" bestFit="1" customWidth="1"/>
  </cols>
  <sheetData>
    <row r="1" spans="1:36" ht="15" customHeight="1" x14ac:dyDescent="0.25">
      <c r="B1" t="s">
        <v>55</v>
      </c>
      <c r="C1" t="s">
        <v>66</v>
      </c>
      <c r="D1" t="s">
        <v>37</v>
      </c>
      <c r="F1" t="s">
        <v>56</v>
      </c>
      <c r="L1">
        <f>COLUMN()</f>
        <v>12</v>
      </c>
      <c r="M1" t="s">
        <v>58</v>
      </c>
      <c r="Y1" t="s">
        <v>57</v>
      </c>
      <c r="Z1">
        <f>SUM(KODU_GRUPAVIMAS[Naudingos eilutės])+$J$2+1</f>
        <v>1</v>
      </c>
      <c r="AA1" t="s">
        <v>42</v>
      </c>
      <c r="AI1" t="e">
        <f>SUM(KopijavimoDuomenys[Rankinis])</f>
        <v>#VALUE!</v>
      </c>
      <c r="AJ1" t="s">
        <v>59</v>
      </c>
    </row>
    <row r="2" spans="1:36" ht="15.75" customHeight="1" x14ac:dyDescent="0.25">
      <c r="B2">
        <f>MAX(KODU_GRUPAVIMAS[Row])</f>
        <v>0</v>
      </c>
      <c r="C2">
        <f ca="1">NOW()</f>
        <v>43831.714455208334</v>
      </c>
      <c r="D2" t="e">
        <f>REPLACE('Paste value pagr'!$B$2,FIND(".xlsx",'Paste value pagr'!$B$2),5,"")</f>
        <v>#VALUE!</v>
      </c>
      <c r="F2" t="str">
        <f ca="1">IF(OFFSET(F2,2,0)="","STOP","OK")</f>
        <v>STOP</v>
      </c>
      <c r="J2">
        <f>COUNTIF(KODU_GRUPAVIMAS[Nauji kodai],"&gt;0")</f>
        <v>0</v>
      </c>
      <c r="L2">
        <f>SUM(KODU_GRUPAVIMAS[G_VW])</f>
        <v>0</v>
      </c>
      <c r="M2">
        <f>SUM(KODU_GRUPAVIMAS[G_VR])</f>
        <v>0</v>
      </c>
      <c r="N2">
        <f>SUM(KODU_GRUPAVIMAS[G_MDF_])</f>
        <v>0</v>
      </c>
      <c r="O2">
        <f>SUM(KODU_GRUPAVIMAS[PAK_GK3])</f>
        <v>0</v>
      </c>
      <c r="P2">
        <f>SUM(KODU_GRUPAVIMAS[PAK_GK5])</f>
        <v>0</v>
      </c>
      <c r="Q2">
        <f>SUM(KODU_GRUPAVIMAS[G_STK_])</f>
        <v>0</v>
      </c>
      <c r="R2">
        <f>SUM(KODU_GRUPAVIMAS[G_VDR_])</f>
        <v>0</v>
      </c>
      <c r="S2">
        <f>SUM(KODU_GRUPAVIMAS[PAK_SI_])</f>
        <v>0</v>
      </c>
      <c r="T2">
        <f>SUM(KODU_GRUPAVIMAS[PAK_PP])</f>
        <v>0</v>
      </c>
      <c r="U2">
        <f>SUM(KODU_GRUPAVIMAS[FUR_])</f>
        <v>0</v>
      </c>
      <c r="V2">
        <f>SUM(KODU_GRUPAVIMAS[VRZ_])</f>
        <v>0</v>
      </c>
      <c r="W2" t="s">
        <v>51</v>
      </c>
      <c r="AA2" t="s">
        <v>27</v>
      </c>
      <c r="AB2" t="s">
        <v>14</v>
      </c>
      <c r="AC2" t="s">
        <v>9</v>
      </c>
      <c r="AD2" t="s">
        <v>4</v>
      </c>
      <c r="AE2" t="s">
        <v>0</v>
      </c>
      <c r="AF2" t="s">
        <v>8</v>
      </c>
      <c r="AG2" t="s">
        <v>74</v>
      </c>
      <c r="AH2" t="s">
        <v>1</v>
      </c>
      <c r="AI2" t="s">
        <v>60</v>
      </c>
    </row>
    <row r="3" spans="1:36" x14ac:dyDescent="0.25">
      <c r="A3" t="s">
        <v>38</v>
      </c>
      <c r="B3" t="s">
        <v>19</v>
      </c>
      <c r="C3" t="s">
        <v>39</v>
      </c>
      <c r="D3" t="s">
        <v>7</v>
      </c>
      <c r="E3" t="s">
        <v>9</v>
      </c>
      <c r="F3" t="s">
        <v>4</v>
      </c>
      <c r="G3" t="s">
        <v>13</v>
      </c>
      <c r="H3" t="s">
        <v>1</v>
      </c>
      <c r="I3" t="s">
        <v>40</v>
      </c>
      <c r="J3" t="s">
        <v>54</v>
      </c>
      <c r="K3" t="s">
        <v>41</v>
      </c>
      <c r="L3" t="s">
        <v>45</v>
      </c>
      <c r="M3" t="s">
        <v>46</v>
      </c>
      <c r="N3" t="s">
        <v>47</v>
      </c>
      <c r="O3" t="s">
        <v>52</v>
      </c>
      <c r="P3" t="s">
        <v>53</v>
      </c>
      <c r="Q3" t="s">
        <v>49</v>
      </c>
      <c r="R3" t="s">
        <v>50</v>
      </c>
      <c r="S3" t="s">
        <v>61</v>
      </c>
      <c r="T3" t="s">
        <v>64</v>
      </c>
      <c r="U3" t="s">
        <v>71</v>
      </c>
      <c r="V3" t="s">
        <v>72</v>
      </c>
      <c r="W3" t="s">
        <v>43</v>
      </c>
      <c r="X3" t="s">
        <v>23</v>
      </c>
      <c r="Z3" t="s">
        <v>73</v>
      </c>
      <c r="AA3">
        <f t="shared" ref="AA3:AA8" ca="1" si="0">$C$2</f>
        <v>43831.714455208334</v>
      </c>
      <c r="AB3" t="e">
        <f t="shared" ref="AB3:AB8" si="1">$D$2</f>
        <v>#VALUE!</v>
      </c>
      <c r="AC3" t="e">
        <f>CONCATENATE("Išv. ",TEXT(VLOOKUP(LEFT(KopijavimoDuomenys[[#This Row],[Paleidimai]],15),#REF!,2,0),"mm-dd")," d.",VLOOKUP(LEFT(KopijavimoDuomenys[[#This Row],[Paleidimai]],15),#REF!,3,0))</f>
        <v>#VALUE!</v>
      </c>
      <c r="AD3" t="e">
        <f>LEFT(D2,15)</f>
        <v>#VALUE!</v>
      </c>
      <c r="AE3" t="s">
        <v>22</v>
      </c>
      <c r="AF3" t="s">
        <v>22</v>
      </c>
      <c r="AH3" t="e">
        <f>MID(AB3,FIND("#",AB3)+1,100)</f>
        <v>#VALUE!</v>
      </c>
      <c r="AI3" t="e">
        <f>IF(KopijavimoDuomenys[[#This Row],[Kodas]]="",0,1)</f>
        <v>#VALUE!</v>
      </c>
    </row>
    <row r="4" spans="1:36" x14ac:dyDescent="0.25">
      <c r="A4">
        <f>IF(KODU_GRUPAVIMAS[[#This Row],[Row]]="",IF(KODU_GRUPAVIMAS[[#This Row],[Projektas]]="Naujas kodas",$B$2+(KODU_GRUPAVIMAS[[#This Row],[Nauji kodai]]/10),IF(KODU_GRUPAVIMAS[[#This Row],[Kodas]]&lt;&gt;"",$B$2+$J$2+2,IF(KODU_GRUPAVIMAS[[#This Row],[Pastabos]]&lt;&gt;"",$B$2+$J$2+3,10000))),KODU_GRUPAVIMAS[[#This Row],[Row]])</f>
        <v>10000</v>
      </c>
      <c r="B4" t="str">
        <f>IF(ISERROR(VLOOKUP(KODU_GRUPAVIMAS[[#This Row],[Kodas]],#REF!,COUNTA(#REF!),0)),"",VLOOKUP(KODU_GRUPAVIMAS[[#This Row],[Kodas]],#REF!,COUNTA(#REF!),0))</f>
        <v/>
      </c>
      <c r="C4">
        <f t="shared" ref="C4:C8" ca="1" si="2">$C$2</f>
        <v>43831.714455208334</v>
      </c>
      <c r="D4" t="e">
        <f t="shared" ref="D4:D8" si="3">$D$2</f>
        <v>#VALUE!</v>
      </c>
      <c r="E4" t="str">
        <f>IF(ISERROR(VLOOKUP(KODU_GRUPAVIMAS[[#This Row],[Kodas]],#REF!,COUNTA(#REF!),0)),IF(KODU_GRUPAVIMAS[[#This Row],[Nauji kodai]]&gt;0,"Naujas kodas",""),VLOOKUP(KODU_GRUPAVIMAS[[#This Row],[Kodas]],#REF!,COUNTA(#REF!),0))</f>
        <v/>
      </c>
      <c r="I4">
        <f>IF(KODU_GRUPAVIMAS[[#This Row],[Row]]&lt;&gt;"",1,0)</f>
        <v>0</v>
      </c>
      <c r="J4">
        <f>SUM(KODU_GRUPAVIMAS[[#This Row],[G_VW]:[VRZ_]])</f>
        <v>0</v>
      </c>
      <c r="K4" t="e">
        <f>VLOOKUP(KODU_GRUPAVIMAS[[#This Row],[Kodas]],#REF!,COUNTA(#REF!),0)</f>
        <v>#REF!</v>
      </c>
      <c r="L4">
        <f>IF(AND(LEFT($F4,LEN(KODU_GRUPAVIMAS[[#Headers],[G_VW]]))=KODU_GRUPAVIMAS[[#Headers],[G_VW]],$B4=""),COLUMN()-$L$1+1,0)</f>
        <v>0</v>
      </c>
      <c r="M4">
        <f>IF(AND(LEFT($F4,LEN(KODU_GRUPAVIMAS[[#Headers],[G_VR]]))=KODU_GRUPAVIMAS[[#Headers],[G_VR]],$B4=""),COLUMN()-$L$1+1,0)</f>
        <v>0</v>
      </c>
      <c r="N4">
        <f>IF(AND(LEFT($F4,LEN(KODU_GRUPAVIMAS[[#Headers],[G_MDF_]]))=KODU_GRUPAVIMAS[[#Headers],[G_MDF_]],$B4=""),COLUMN()-$L$1+1,0)</f>
        <v>0</v>
      </c>
      <c r="O4">
        <f>IF(AND(LEFT($F4,LEN(KODU_GRUPAVIMAS[[#Headers],[PAK_GK3]]))=KODU_GRUPAVIMAS[[#Headers],[PAK_GK3]],$B4=""),COLUMN()-$L$1+1,0)</f>
        <v>0</v>
      </c>
      <c r="P4">
        <f>IF(AND(LEFT($F4,LEN(KODU_GRUPAVIMAS[[#Headers],[PAK_GK5]]))=KODU_GRUPAVIMAS[[#Headers],[PAK_GK5]],$B4=""),COLUMN()-$L$1+1,0)</f>
        <v>0</v>
      </c>
      <c r="Q4">
        <f>IF(AND(LEFT($F4,LEN(KODU_GRUPAVIMAS[[#Headers],[G_STK_]]))=KODU_GRUPAVIMAS[[#Headers],[G_STK_]],$B4=""),COLUMN()-$L$1+1,0)</f>
        <v>0</v>
      </c>
      <c r="R4">
        <f>IF(AND(LEFT($F4,LEN(KODU_GRUPAVIMAS[[#Headers],[G_VDR_]]))=KODU_GRUPAVIMAS[[#Headers],[G_VDR_]],$B4=""),COLUMN()-$L$1+1,0)</f>
        <v>0</v>
      </c>
      <c r="S4">
        <f>IF(AND(LEFT($F4,LEN(KODU_GRUPAVIMAS[[#Headers],[PAK_SI_]]))=KODU_GRUPAVIMAS[[#Headers],[PAK_SI_]],$B4=""),COLUMN()-$L$1+1,0)</f>
        <v>0</v>
      </c>
      <c r="T4">
        <f>IF(AND(LEFT($F4,LEN(KODU_GRUPAVIMAS[[#Headers],[PAK_PP]]))=KODU_GRUPAVIMAS[[#Headers],[PAK_PP]],$B4=""),COLUMN()-$L$1+1,0)</f>
        <v>0</v>
      </c>
      <c r="U4">
        <f>IF(AND(LEFT($F4,LEN(KODU_GRUPAVIMAS[[#Headers],[FUR_]]))=KODU_GRUPAVIMAS[[#Headers],[FUR_]],$B4=""),COLUMN()-$L$1+1,0)</f>
        <v>0</v>
      </c>
      <c r="V4">
        <f>IF(AND(LEFT($F4,LEN(KODU_GRUPAVIMAS[[#Headers],[VRZ_]]))=KODU_GRUPAVIMAS[[#Headers],[VRZ_]],$B4=""),COLUMN()-$L$1+1,0)</f>
        <v>0</v>
      </c>
      <c r="W4" t="s">
        <v>45</v>
      </c>
      <c r="X4" t="s">
        <v>25</v>
      </c>
      <c r="AA4">
        <f t="shared" ca="1" si="0"/>
        <v>43831.714455208334</v>
      </c>
      <c r="AB4" t="e">
        <f t="shared" si="1"/>
        <v>#VALUE!</v>
      </c>
      <c r="AC4" t="str">
        <f>KODU_GRUPAVIMAS[[#This Row],[Projektas]]</f>
        <v/>
      </c>
      <c r="AD4" t="str">
        <f>IF(KODU_GRUPAVIMAS[[#This Row],[Kodas]]="","",KODU_GRUPAVIMAS[[#This Row],[Kodas]])</f>
        <v/>
      </c>
      <c r="AE4">
        <f>-KODU_GRUPAVIMAS[[#This Row],[Kiekis]]</f>
        <v>0</v>
      </c>
      <c r="AI4">
        <f>IF(KopijavimoDuomenys[[#This Row],[Kodas]]="",0,1)</f>
        <v>0</v>
      </c>
    </row>
    <row r="5" spans="1:36" x14ac:dyDescent="0.25">
      <c r="A5">
        <f>IF(KODU_GRUPAVIMAS[[#This Row],[Row]]="",IF(KODU_GRUPAVIMAS[[#This Row],[Projektas]]="Naujas kodas",$B$2+(KODU_GRUPAVIMAS[[#This Row],[Nauji kodai]]/10),IF(KODU_GRUPAVIMAS[[#This Row],[Kodas]]&lt;&gt;"",$B$2+$J$2+2,IF(KODU_GRUPAVIMAS[[#This Row],[Pastabos]]&lt;&gt;"",$B$2+$J$2+3,10000))),KODU_GRUPAVIMAS[[#This Row],[Row]])</f>
        <v>10000</v>
      </c>
      <c r="B5" t="str">
        <f>IF(ISERROR(VLOOKUP(KODU_GRUPAVIMAS[[#This Row],[Kodas]],#REF!,COUNTA(#REF!),0)),"",VLOOKUP(KODU_GRUPAVIMAS[[#This Row],[Kodas]],#REF!,COUNTA(#REF!),0))</f>
        <v/>
      </c>
      <c r="C5">
        <f t="shared" ca="1" si="2"/>
        <v>43831.714455208334</v>
      </c>
      <c r="D5" t="e">
        <f t="shared" si="3"/>
        <v>#VALUE!</v>
      </c>
      <c r="E5" t="str">
        <f>IF(ISERROR(VLOOKUP(KODU_GRUPAVIMAS[[#This Row],[Kodas]],#REF!,COUNTA(#REF!),0)),IF(KODU_GRUPAVIMAS[[#This Row],[Nauji kodai]]&gt;0,"Naujas kodas",""),VLOOKUP(KODU_GRUPAVIMAS[[#This Row],[Kodas]],#REF!,COUNTA(#REF!),0))</f>
        <v/>
      </c>
      <c r="I5">
        <f>IF(KODU_GRUPAVIMAS[[#This Row],[Row]]&lt;&gt;"",1,0)</f>
        <v>0</v>
      </c>
      <c r="J5">
        <f>SUM(KODU_GRUPAVIMAS[[#This Row],[G_VW]:[VRZ_]])</f>
        <v>0</v>
      </c>
      <c r="K5" t="e">
        <f>VLOOKUP(KODU_GRUPAVIMAS[[#This Row],[Kodas]],#REF!,COUNTA(#REF!),0)</f>
        <v>#REF!</v>
      </c>
      <c r="L5">
        <f>IF(AND(LEFT($F5,LEN(KODU_GRUPAVIMAS[[#Headers],[G_VW]]))=KODU_GRUPAVIMAS[[#Headers],[G_VW]],$B5=""),COLUMN()-$L$1+1,0)</f>
        <v>0</v>
      </c>
      <c r="M5">
        <f>IF(AND(LEFT($F5,LEN(KODU_GRUPAVIMAS[[#Headers],[G_VR]]))=KODU_GRUPAVIMAS[[#Headers],[G_VR]],$B5=""),COLUMN()-$L$1+1,0)</f>
        <v>0</v>
      </c>
      <c r="N5">
        <f>IF(AND(LEFT($F5,LEN(KODU_GRUPAVIMAS[[#Headers],[G_MDF_]]))=KODU_GRUPAVIMAS[[#Headers],[G_MDF_]],$B5=""),COLUMN()-$L$1+1,0)</f>
        <v>0</v>
      </c>
      <c r="O5">
        <f>IF(AND(LEFT($F5,LEN(KODU_GRUPAVIMAS[[#Headers],[PAK_GK3]]))=KODU_GRUPAVIMAS[[#Headers],[PAK_GK3]],$B5=""),COLUMN()-$L$1+1,0)</f>
        <v>0</v>
      </c>
      <c r="P5">
        <f>IF(AND(LEFT($F5,LEN(KODU_GRUPAVIMAS[[#Headers],[PAK_GK5]]))=KODU_GRUPAVIMAS[[#Headers],[PAK_GK5]],$B5=""),COLUMN()-$L$1+1,0)</f>
        <v>0</v>
      </c>
      <c r="Q5">
        <f>IF(AND(LEFT($F5,LEN(KODU_GRUPAVIMAS[[#Headers],[G_STK_]]))=KODU_GRUPAVIMAS[[#Headers],[G_STK_]],$B5=""),COLUMN()-$L$1+1,0)</f>
        <v>0</v>
      </c>
      <c r="R5">
        <f>IF(AND(LEFT($F5,LEN(KODU_GRUPAVIMAS[[#Headers],[G_VDR_]]))=KODU_GRUPAVIMAS[[#Headers],[G_VDR_]],$B5=""),COLUMN()-$L$1+1,0)</f>
        <v>0</v>
      </c>
      <c r="S5">
        <f>IF(AND(LEFT($F5,LEN(KODU_GRUPAVIMAS[[#Headers],[PAK_SI_]]))=KODU_GRUPAVIMAS[[#Headers],[PAK_SI_]],$B5=""),COLUMN()-$L$1+1,0)</f>
        <v>0</v>
      </c>
      <c r="T5">
        <f>IF(AND(LEFT($F5,LEN(KODU_GRUPAVIMAS[[#Headers],[PAK_PP]]))=KODU_GRUPAVIMAS[[#Headers],[PAK_PP]],$B5=""),COLUMN()-$L$1+1,0)</f>
        <v>0</v>
      </c>
      <c r="U5">
        <f>IF(AND(LEFT($F5,LEN(KODU_GRUPAVIMAS[[#Headers],[FUR_]]))=KODU_GRUPAVIMAS[[#Headers],[FUR_]],$B5=""),COLUMN()-$L$1+1,0)</f>
        <v>0</v>
      </c>
      <c r="V5">
        <f>IF(AND(LEFT($F5,LEN(KODU_GRUPAVIMAS[[#Headers],[VRZ_]]))=KODU_GRUPAVIMAS[[#Headers],[VRZ_]],$B5=""),COLUMN()-$L$1+1,0)</f>
        <v>0</v>
      </c>
      <c r="W5" t="s">
        <v>46</v>
      </c>
      <c r="X5" t="s">
        <v>25</v>
      </c>
      <c r="AA5">
        <f t="shared" ca="1" si="0"/>
        <v>43831.714455208334</v>
      </c>
      <c r="AB5" t="e">
        <f t="shared" si="1"/>
        <v>#VALUE!</v>
      </c>
      <c r="AC5" t="str">
        <f>KODU_GRUPAVIMAS[[#This Row],[Projektas]]</f>
        <v/>
      </c>
      <c r="AD5" t="str">
        <f>IF(KODU_GRUPAVIMAS[[#This Row],[Kodas]]="","",KODU_GRUPAVIMAS[[#This Row],[Kodas]])</f>
        <v/>
      </c>
      <c r="AE5">
        <f>-KODU_GRUPAVIMAS[[#This Row],[Kiekis]]</f>
        <v>0</v>
      </c>
      <c r="AI5">
        <f>IF(KopijavimoDuomenys[[#This Row],[Kodas]]="",0,1)</f>
        <v>0</v>
      </c>
    </row>
    <row r="6" spans="1:36" x14ac:dyDescent="0.25">
      <c r="A6">
        <f>IF(KODU_GRUPAVIMAS[[#This Row],[Row]]="",IF(KODU_GRUPAVIMAS[[#This Row],[Projektas]]="Naujas kodas",$B$2+(KODU_GRUPAVIMAS[[#This Row],[Nauji kodai]]/10),IF(KODU_GRUPAVIMAS[[#This Row],[Kodas]]&lt;&gt;"",$B$2+$J$2+2,IF(KODU_GRUPAVIMAS[[#This Row],[Pastabos]]&lt;&gt;"",$B$2+$J$2+3,10000))),KODU_GRUPAVIMAS[[#This Row],[Row]])</f>
        <v>10000</v>
      </c>
      <c r="B6" t="str">
        <f>IF(ISERROR(VLOOKUP(KODU_GRUPAVIMAS[[#This Row],[Kodas]],#REF!,COUNTA(#REF!),0)),"",VLOOKUP(KODU_GRUPAVIMAS[[#This Row],[Kodas]],#REF!,COUNTA(#REF!),0))</f>
        <v/>
      </c>
      <c r="C6">
        <f t="shared" ca="1" si="2"/>
        <v>43831.714455208334</v>
      </c>
      <c r="D6" t="e">
        <f t="shared" si="3"/>
        <v>#VALUE!</v>
      </c>
      <c r="E6" t="str">
        <f>IF(ISERROR(VLOOKUP(KODU_GRUPAVIMAS[[#This Row],[Kodas]],#REF!,COUNTA(#REF!),0)),IF(KODU_GRUPAVIMAS[[#This Row],[Nauji kodai]]&gt;0,"Naujas kodas",""),VLOOKUP(KODU_GRUPAVIMAS[[#This Row],[Kodas]],#REF!,COUNTA(#REF!),0))</f>
        <v/>
      </c>
      <c r="I6">
        <f>IF(KODU_GRUPAVIMAS[[#This Row],[Row]]&lt;&gt;"",1,0)</f>
        <v>0</v>
      </c>
      <c r="J6">
        <f>SUM(KODU_GRUPAVIMAS[[#This Row],[G_VW]:[VRZ_]])</f>
        <v>0</v>
      </c>
      <c r="K6" t="e">
        <f>VLOOKUP(KODU_GRUPAVIMAS[[#This Row],[Kodas]],#REF!,COUNTA(#REF!),0)</f>
        <v>#REF!</v>
      </c>
      <c r="L6">
        <f>IF(AND(LEFT($F6,LEN(KODU_GRUPAVIMAS[[#Headers],[G_VW]]))=KODU_GRUPAVIMAS[[#Headers],[G_VW]],$B6=""),COLUMN()-$L$1+1,0)</f>
        <v>0</v>
      </c>
      <c r="M6">
        <f>IF(AND(LEFT($F6,LEN(KODU_GRUPAVIMAS[[#Headers],[G_VR]]))=KODU_GRUPAVIMAS[[#Headers],[G_VR]],$B6=""),COLUMN()-$L$1+1,0)</f>
        <v>0</v>
      </c>
      <c r="N6">
        <f>IF(AND(LEFT($F6,LEN(KODU_GRUPAVIMAS[[#Headers],[G_MDF_]]))=KODU_GRUPAVIMAS[[#Headers],[G_MDF_]],$B6=""),COLUMN()-$L$1+1,0)</f>
        <v>0</v>
      </c>
      <c r="O6">
        <f>IF(AND(LEFT($F6,LEN(KODU_GRUPAVIMAS[[#Headers],[PAK_GK3]]))=KODU_GRUPAVIMAS[[#Headers],[PAK_GK3]],$B6=""),COLUMN()-$L$1+1,0)</f>
        <v>0</v>
      </c>
      <c r="P6">
        <f>IF(AND(LEFT($F6,LEN(KODU_GRUPAVIMAS[[#Headers],[PAK_GK5]]))=KODU_GRUPAVIMAS[[#Headers],[PAK_GK5]],$B6=""),COLUMN()-$L$1+1,0)</f>
        <v>0</v>
      </c>
      <c r="Q6">
        <f>IF(AND(LEFT($F6,LEN(KODU_GRUPAVIMAS[[#Headers],[G_STK_]]))=KODU_GRUPAVIMAS[[#Headers],[G_STK_]],$B6=""),COLUMN()-$L$1+1,0)</f>
        <v>0</v>
      </c>
      <c r="R6">
        <f>IF(AND(LEFT($F6,LEN(KODU_GRUPAVIMAS[[#Headers],[G_VDR_]]))=KODU_GRUPAVIMAS[[#Headers],[G_VDR_]],$B6=""),COLUMN()-$L$1+1,0)</f>
        <v>0</v>
      </c>
      <c r="S6">
        <f>IF(AND(LEFT($F6,LEN(KODU_GRUPAVIMAS[[#Headers],[PAK_SI_]]))=KODU_GRUPAVIMAS[[#Headers],[PAK_SI_]],$B6=""),COLUMN()-$L$1+1,0)</f>
        <v>0</v>
      </c>
      <c r="T6">
        <f>IF(AND(LEFT($F6,LEN(KODU_GRUPAVIMAS[[#Headers],[PAK_PP]]))=KODU_GRUPAVIMAS[[#Headers],[PAK_PP]],$B6=""),COLUMN()-$L$1+1,0)</f>
        <v>0</v>
      </c>
      <c r="U6">
        <f>IF(AND(LEFT($F6,LEN(KODU_GRUPAVIMAS[[#Headers],[FUR_]]))=KODU_GRUPAVIMAS[[#Headers],[FUR_]],$B6=""),COLUMN()-$L$1+1,0)</f>
        <v>0</v>
      </c>
      <c r="V6">
        <f>IF(AND(LEFT($F6,LEN(KODU_GRUPAVIMAS[[#Headers],[VRZ_]]))=KODU_GRUPAVIMAS[[#Headers],[VRZ_]],$B6=""),COLUMN()-$L$1+1,0)</f>
        <v>0</v>
      </c>
      <c r="W6" t="s">
        <v>47</v>
      </c>
      <c r="X6" t="s">
        <v>25</v>
      </c>
      <c r="AA6">
        <f t="shared" ca="1" si="0"/>
        <v>43831.714455208334</v>
      </c>
      <c r="AB6" t="e">
        <f t="shared" si="1"/>
        <v>#VALUE!</v>
      </c>
      <c r="AC6" t="str">
        <f>KODU_GRUPAVIMAS[[#This Row],[Projektas]]</f>
        <v/>
      </c>
      <c r="AD6" t="str">
        <f>IF(KODU_GRUPAVIMAS[[#This Row],[Kodas]]="","",KODU_GRUPAVIMAS[[#This Row],[Kodas]])</f>
        <v/>
      </c>
      <c r="AE6">
        <f>-KODU_GRUPAVIMAS[[#This Row],[Kiekis]]</f>
        <v>0</v>
      </c>
      <c r="AI6">
        <f>IF(KopijavimoDuomenys[[#This Row],[Kodas]]="",0,1)</f>
        <v>0</v>
      </c>
    </row>
    <row r="7" spans="1:36" x14ac:dyDescent="0.25">
      <c r="A7">
        <f>IF(KODU_GRUPAVIMAS[[#This Row],[Row]]="",IF(KODU_GRUPAVIMAS[[#This Row],[Projektas]]="Naujas kodas",$B$2+(KODU_GRUPAVIMAS[[#This Row],[Nauji kodai]]/10),IF(KODU_GRUPAVIMAS[[#This Row],[Kodas]]&lt;&gt;"",$B$2+$J$2+2,IF(KODU_GRUPAVIMAS[[#This Row],[Pastabos]]&lt;&gt;"",$B$2+$J$2+3,10000))),KODU_GRUPAVIMAS[[#This Row],[Row]])</f>
        <v>10000</v>
      </c>
      <c r="B7" t="str">
        <f>IF(ISERROR(VLOOKUP(KODU_GRUPAVIMAS[[#This Row],[Kodas]],#REF!,COUNTA(#REF!),0)),"",VLOOKUP(KODU_GRUPAVIMAS[[#This Row],[Kodas]],#REF!,COUNTA(#REF!),0))</f>
        <v/>
      </c>
      <c r="C7">
        <f t="shared" ca="1" si="2"/>
        <v>43831.714455208334</v>
      </c>
      <c r="D7" t="e">
        <f t="shared" si="3"/>
        <v>#VALUE!</v>
      </c>
      <c r="E7" t="str">
        <f>IF(ISERROR(VLOOKUP(KODU_GRUPAVIMAS[[#This Row],[Kodas]],#REF!,COUNTA(#REF!),0)),IF(KODU_GRUPAVIMAS[[#This Row],[Nauji kodai]]&gt;0,"Naujas kodas",""),VLOOKUP(KODU_GRUPAVIMAS[[#This Row],[Kodas]],#REF!,COUNTA(#REF!),0))</f>
        <v/>
      </c>
      <c r="I7">
        <f>IF(KODU_GRUPAVIMAS[[#This Row],[Row]]&lt;&gt;"",1,0)</f>
        <v>0</v>
      </c>
      <c r="J7">
        <f>SUM(KODU_GRUPAVIMAS[[#This Row],[G_VW]:[VRZ_]])</f>
        <v>0</v>
      </c>
      <c r="K7" t="e">
        <f>VLOOKUP(KODU_GRUPAVIMAS[[#This Row],[Kodas]],#REF!,COUNTA(#REF!),0)</f>
        <v>#REF!</v>
      </c>
      <c r="L7">
        <f>IF(AND(LEFT($F7,LEN(KODU_GRUPAVIMAS[[#Headers],[G_VW]]))=KODU_GRUPAVIMAS[[#Headers],[G_VW]],$B7=""),COLUMN()-$L$1+1,0)</f>
        <v>0</v>
      </c>
      <c r="M7">
        <f>IF(AND(LEFT($F7,LEN(KODU_GRUPAVIMAS[[#Headers],[G_VR]]))=KODU_GRUPAVIMAS[[#Headers],[G_VR]],$B7=""),COLUMN()-$L$1+1,0)</f>
        <v>0</v>
      </c>
      <c r="N7">
        <f>IF(AND(LEFT($F7,LEN(KODU_GRUPAVIMAS[[#Headers],[G_MDF_]]))=KODU_GRUPAVIMAS[[#Headers],[G_MDF_]],$B7=""),COLUMN()-$L$1+1,0)</f>
        <v>0</v>
      </c>
      <c r="O7">
        <f>IF(AND(LEFT($F7,LEN(KODU_GRUPAVIMAS[[#Headers],[PAK_GK3]]))=KODU_GRUPAVIMAS[[#Headers],[PAK_GK3]],$B7=""),COLUMN()-$L$1+1,0)</f>
        <v>0</v>
      </c>
      <c r="P7">
        <f>IF(AND(LEFT($F7,LEN(KODU_GRUPAVIMAS[[#Headers],[PAK_GK5]]))=KODU_GRUPAVIMAS[[#Headers],[PAK_GK5]],$B7=""),COLUMN()-$L$1+1,0)</f>
        <v>0</v>
      </c>
      <c r="Q7">
        <f>IF(AND(LEFT($F7,LEN(KODU_GRUPAVIMAS[[#Headers],[G_STK_]]))=KODU_GRUPAVIMAS[[#Headers],[G_STK_]],$B7=""),COLUMN()-$L$1+1,0)</f>
        <v>0</v>
      </c>
      <c r="R7">
        <f>IF(AND(LEFT($F7,LEN(KODU_GRUPAVIMAS[[#Headers],[G_VDR_]]))=KODU_GRUPAVIMAS[[#Headers],[G_VDR_]],$B7=""),COLUMN()-$L$1+1,0)</f>
        <v>0</v>
      </c>
      <c r="S7">
        <f>IF(AND(LEFT($F7,LEN(KODU_GRUPAVIMAS[[#Headers],[PAK_SI_]]))=KODU_GRUPAVIMAS[[#Headers],[PAK_SI_]],$B7=""),COLUMN()-$L$1+1,0)</f>
        <v>0</v>
      </c>
      <c r="T7">
        <f>IF(AND(LEFT($F7,LEN(KODU_GRUPAVIMAS[[#Headers],[PAK_PP]]))=KODU_GRUPAVIMAS[[#Headers],[PAK_PP]],$B7=""),COLUMN()-$L$1+1,0)</f>
        <v>0</v>
      </c>
      <c r="U7">
        <f>IF(AND(LEFT($F7,LEN(KODU_GRUPAVIMAS[[#Headers],[FUR_]]))=KODU_GRUPAVIMAS[[#Headers],[FUR_]],$B7=""),COLUMN()-$L$1+1,0)</f>
        <v>0</v>
      </c>
      <c r="V7">
        <f>IF(AND(LEFT($F7,LEN(KODU_GRUPAVIMAS[[#Headers],[VRZ_]]))=KODU_GRUPAVIMAS[[#Headers],[VRZ_]],$B7=""),COLUMN()-$L$1+1,0)</f>
        <v>0</v>
      </c>
      <c r="W7" t="s">
        <v>48</v>
      </c>
      <c r="X7" t="s">
        <v>44</v>
      </c>
      <c r="AA7">
        <f t="shared" ca="1" si="0"/>
        <v>43831.714455208334</v>
      </c>
      <c r="AB7" t="e">
        <f t="shared" si="1"/>
        <v>#VALUE!</v>
      </c>
      <c r="AC7" t="str">
        <f>KODU_GRUPAVIMAS[[#This Row],[Projektas]]</f>
        <v/>
      </c>
      <c r="AD7" t="str">
        <f>IF(KODU_GRUPAVIMAS[[#This Row],[Kodas]]="","",KODU_GRUPAVIMAS[[#This Row],[Kodas]])</f>
        <v/>
      </c>
      <c r="AE7">
        <f>-KODU_GRUPAVIMAS[[#This Row],[Kiekis]]</f>
        <v>0</v>
      </c>
      <c r="AI7">
        <f>IF(KopijavimoDuomenys[[#This Row],[Kodas]]="",0,1)</f>
        <v>0</v>
      </c>
    </row>
    <row r="8" spans="1:36" x14ac:dyDescent="0.25">
      <c r="A8">
        <f>IF(KODU_GRUPAVIMAS[[#This Row],[Row]]="",IF(KODU_GRUPAVIMAS[[#This Row],[Projektas]]="Naujas kodas",$B$2+(KODU_GRUPAVIMAS[[#This Row],[Nauji kodai]]/10),IF(KODU_GRUPAVIMAS[[#This Row],[Kodas]]&lt;&gt;"",$B$2+$J$2+2,IF(KODU_GRUPAVIMAS[[#This Row],[Pastabos]]&lt;&gt;"",$B$2+$J$2+3,10000))),KODU_GRUPAVIMAS[[#This Row],[Row]])</f>
        <v>10000</v>
      </c>
      <c r="B8" t="str">
        <f>IF(ISERROR(VLOOKUP(KODU_GRUPAVIMAS[[#This Row],[Kodas]],#REF!,COUNTA(#REF!),0)),"",VLOOKUP(KODU_GRUPAVIMAS[[#This Row],[Kodas]],#REF!,COUNTA(#REF!),0))</f>
        <v/>
      </c>
      <c r="C8">
        <f t="shared" ca="1" si="2"/>
        <v>43831.714455208334</v>
      </c>
      <c r="D8" t="e">
        <f t="shared" si="3"/>
        <v>#VALUE!</v>
      </c>
      <c r="E8" t="str">
        <f>IF(ISERROR(VLOOKUP(KODU_GRUPAVIMAS[[#This Row],[Kodas]],#REF!,COUNTA(#REF!),0)),IF(KODU_GRUPAVIMAS[[#This Row],[Nauji kodai]]&gt;0,"Naujas kodas",""),VLOOKUP(KODU_GRUPAVIMAS[[#This Row],[Kodas]],#REF!,COUNTA(#REF!),0))</f>
        <v/>
      </c>
      <c r="I8">
        <f>IF(KODU_GRUPAVIMAS[[#This Row],[Row]]&lt;&gt;"",1,0)</f>
        <v>0</v>
      </c>
      <c r="J8">
        <f>SUM(KODU_GRUPAVIMAS[[#This Row],[G_VW]:[VRZ_]])</f>
        <v>0</v>
      </c>
      <c r="K8" t="e">
        <f>VLOOKUP(KODU_GRUPAVIMAS[[#This Row],[Kodas]],#REF!,COUNTA(#REF!),0)</f>
        <v>#REF!</v>
      </c>
      <c r="L8">
        <f>IF(AND(LEFT($F8,LEN(KODU_GRUPAVIMAS[[#Headers],[G_VW]]))=KODU_GRUPAVIMAS[[#Headers],[G_VW]],$B8=""),COLUMN()-$L$1+1,0)</f>
        <v>0</v>
      </c>
      <c r="M8">
        <f>IF(AND(LEFT($F8,LEN(KODU_GRUPAVIMAS[[#Headers],[G_VR]]))=KODU_GRUPAVIMAS[[#Headers],[G_VR]],$B8=""),COLUMN()-$L$1+1,0)</f>
        <v>0</v>
      </c>
      <c r="N8">
        <f>IF(AND(LEFT($F8,LEN(KODU_GRUPAVIMAS[[#Headers],[G_MDF_]]))=KODU_GRUPAVIMAS[[#Headers],[G_MDF_]],$B8=""),COLUMN()-$L$1+1,0)</f>
        <v>0</v>
      </c>
      <c r="O8">
        <f>IF(AND(LEFT($F8,LEN(KODU_GRUPAVIMAS[[#Headers],[PAK_GK3]]))=KODU_GRUPAVIMAS[[#Headers],[PAK_GK3]],$B8=""),COLUMN()-$L$1+1,0)</f>
        <v>0</v>
      </c>
      <c r="P8">
        <f>IF(AND(LEFT($F8,LEN(KODU_GRUPAVIMAS[[#Headers],[PAK_GK5]]))=KODU_GRUPAVIMAS[[#Headers],[PAK_GK5]],$B8=""),COLUMN()-$L$1+1,0)</f>
        <v>0</v>
      </c>
      <c r="Q8">
        <f>IF(AND(LEFT($F8,LEN(KODU_GRUPAVIMAS[[#Headers],[G_STK_]]))=KODU_GRUPAVIMAS[[#Headers],[G_STK_]],$B8=""),COLUMN()-$L$1+1,0)</f>
        <v>0</v>
      </c>
      <c r="R8">
        <f>IF(AND(LEFT($F8,LEN(KODU_GRUPAVIMAS[[#Headers],[G_VDR_]]))=KODU_GRUPAVIMAS[[#Headers],[G_VDR_]],$B8=""),COLUMN()-$L$1+1,0)</f>
        <v>0</v>
      </c>
      <c r="S8">
        <f>IF(AND(LEFT($F8,LEN(KODU_GRUPAVIMAS[[#Headers],[PAK_SI_]]))=KODU_GRUPAVIMAS[[#Headers],[PAK_SI_]],$B8=""),COLUMN()-$L$1+1,0)</f>
        <v>0</v>
      </c>
      <c r="T8">
        <f>IF(AND(LEFT($F8,LEN(KODU_GRUPAVIMAS[[#Headers],[PAK_PP]]))=KODU_GRUPAVIMAS[[#Headers],[PAK_PP]],$B8=""),COLUMN()-$L$1+1,0)</f>
        <v>0</v>
      </c>
      <c r="U8">
        <f>IF(AND(LEFT($F8,LEN(KODU_GRUPAVIMAS[[#Headers],[FUR_]]))=KODU_GRUPAVIMAS[[#Headers],[FUR_]],$B8=""),COLUMN()-$L$1+1,0)</f>
        <v>0</v>
      </c>
      <c r="V8">
        <f>IF(AND(LEFT($F8,LEN(KODU_GRUPAVIMAS[[#Headers],[VRZ_]]))=KODU_GRUPAVIMAS[[#Headers],[VRZ_]],$B8=""),COLUMN()-$L$1+1,0)</f>
        <v>0</v>
      </c>
      <c r="W8" t="s">
        <v>49</v>
      </c>
      <c r="X8" t="s">
        <v>24</v>
      </c>
      <c r="AA8">
        <f t="shared" ca="1" si="0"/>
        <v>43831.714455208334</v>
      </c>
      <c r="AB8" t="e">
        <f t="shared" si="1"/>
        <v>#VALUE!</v>
      </c>
      <c r="AC8" t="str">
        <f>KODU_GRUPAVIMAS[[#This Row],[Projektas]]</f>
        <v/>
      </c>
      <c r="AD8" t="str">
        <f>IF(KODU_GRUPAVIMAS[[#This Row],[Kodas]]="","",KODU_GRUPAVIMAS[[#This Row],[Kodas]])</f>
        <v/>
      </c>
      <c r="AE8">
        <f>-KODU_GRUPAVIMAS[[#This Row],[Kiekis]]</f>
        <v>0</v>
      </c>
      <c r="AI8">
        <f>IF(KopijavimoDuomenys[[#This Row],[Kodas]]="",0,1)</f>
        <v>0</v>
      </c>
    </row>
  </sheetData>
  <pageMargins left="0.25" right="0.25"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IkeltiRankiniuBudu">
                <anchor moveWithCells="1" sizeWithCells="1">
                  <from>
                    <xdr:col>6</xdr:col>
                    <xdr:colOff>228600</xdr:colOff>
                    <xdr:row>0</xdr:row>
                    <xdr:rowOff>0</xdr:rowOff>
                  </from>
                  <to>
                    <xdr:col>8</xdr:col>
                    <xdr:colOff>285750</xdr:colOff>
                    <xdr:row>1</xdr:row>
                    <xdr:rowOff>180975</xdr:rowOff>
                  </to>
                </anchor>
              </controlPr>
            </control>
          </mc:Choice>
        </mc:AlternateContent>
      </controls>
    </mc:Choice>
  </mc:AlternateContent>
  <tableParts count="3">
    <tablePart r:id="rId5"/>
    <tablePart r:id="rId6"/>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FF00"/>
    <pageSetUpPr fitToPage="1"/>
  </sheetPr>
  <dimension ref="A1:V22"/>
  <sheetViews>
    <sheetView tabSelected="1" zoomScale="85" zoomScaleNormal="85" workbookViewId="0">
      <pane ySplit="13" topLeftCell="A18" activePane="bottomLeft" state="frozen"/>
      <selection pane="bottomLeft" activeCell="D23" sqref="D23"/>
    </sheetView>
  </sheetViews>
  <sheetFormatPr defaultRowHeight="15" x14ac:dyDescent="0.25"/>
  <cols>
    <col min="1" max="1" width="11.42578125" customWidth="1"/>
    <col min="2" max="2" width="21.140625" customWidth="1"/>
    <col min="3" max="3" width="13.140625" customWidth="1"/>
    <col min="4" max="4" width="34.5703125" customWidth="1"/>
    <col min="5" max="6" width="8.7109375" customWidth="1"/>
    <col min="7" max="7" width="9.5703125" customWidth="1"/>
    <col min="8" max="8" width="28.42578125" customWidth="1"/>
    <col min="9" max="9" width="6" customWidth="1"/>
    <col min="10" max="10" width="69" bestFit="1" customWidth="1"/>
    <col min="11" max="11" width="15.28515625" customWidth="1"/>
    <col min="12" max="12" width="10.7109375" customWidth="1"/>
    <col min="13" max="13" width="7.140625" customWidth="1"/>
    <col min="14" max="14" width="6.85546875" customWidth="1"/>
    <col min="15" max="15" width="7.7109375" customWidth="1"/>
    <col min="16" max="16" width="6.5703125" customWidth="1"/>
    <col min="17" max="17" width="15" bestFit="1" customWidth="1"/>
    <col min="18" max="19" width="15" hidden="1" customWidth="1"/>
    <col min="20" max="20" width="6.28515625" customWidth="1"/>
    <col min="21" max="21" width="16.7109375" customWidth="1"/>
    <col min="22" max="22" width="12.42578125" customWidth="1"/>
  </cols>
  <sheetData>
    <row r="1" spans="1:22" x14ac:dyDescent="0.25">
      <c r="T1" t="s">
        <v>29</v>
      </c>
      <c r="U1" t="s">
        <v>29</v>
      </c>
      <c r="V1" t="s">
        <v>29</v>
      </c>
    </row>
    <row r="2" spans="1:22" x14ac:dyDescent="0.25">
      <c r="T2" t="s">
        <v>29</v>
      </c>
      <c r="U2" t="s">
        <v>29</v>
      </c>
      <c r="V2" t="s">
        <v>29</v>
      </c>
    </row>
    <row r="3" spans="1:22" x14ac:dyDescent="0.25">
      <c r="T3" t="s">
        <v>29</v>
      </c>
      <c r="U3" t="s">
        <v>29</v>
      </c>
      <c r="V3" t="s">
        <v>29</v>
      </c>
    </row>
    <row r="4" spans="1:22" x14ac:dyDescent="0.25">
      <c r="T4" t="s">
        <v>29</v>
      </c>
      <c r="U4" t="s">
        <v>29</v>
      </c>
      <c r="V4" t="s">
        <v>29</v>
      </c>
    </row>
    <row r="5" spans="1:22" x14ac:dyDescent="0.25">
      <c r="T5" t="s">
        <v>29</v>
      </c>
      <c r="U5" t="s">
        <v>29</v>
      </c>
      <c r="V5" t="s">
        <v>29</v>
      </c>
    </row>
    <row r="6" spans="1:22" ht="15" customHeight="1" x14ac:dyDescent="0.25">
      <c r="T6" t="s">
        <v>29</v>
      </c>
      <c r="U6" t="s">
        <v>29</v>
      </c>
      <c r="V6" t="s">
        <v>29</v>
      </c>
    </row>
    <row r="7" spans="1:22" x14ac:dyDescent="0.25">
      <c r="T7" t="s">
        <v>29</v>
      </c>
      <c r="U7" t="s">
        <v>29</v>
      </c>
      <c r="V7" t="s">
        <v>29</v>
      </c>
    </row>
    <row r="8" spans="1:22" x14ac:dyDescent="0.25">
      <c r="T8" t="s">
        <v>29</v>
      </c>
      <c r="U8" t="s">
        <v>29</v>
      </c>
      <c r="V8" t="s">
        <v>29</v>
      </c>
    </row>
    <row r="9" spans="1:22" x14ac:dyDescent="0.25">
      <c r="T9" t="s">
        <v>29</v>
      </c>
      <c r="U9" t="s">
        <v>29</v>
      </c>
      <c r="V9" t="s">
        <v>29</v>
      </c>
    </row>
    <row r="10" spans="1:22" x14ac:dyDescent="0.25">
      <c r="T10" t="s">
        <v>29</v>
      </c>
      <c r="U10" t="s">
        <v>29</v>
      </c>
      <c r="V10" t="s">
        <v>29</v>
      </c>
    </row>
    <row r="11" spans="1:22" ht="15" customHeight="1" x14ac:dyDescent="0.25">
      <c r="D11" t="s">
        <v>76</v>
      </c>
      <c r="H11" t="e">
        <f>IF(COUNTIFS(#REF!,"&gt;0",APSKAITA[Prieš],"&lt;0")&gt;0,CONCATENATE("Gauta ",COUNTIFS(#REF!,"&gt;0",APSKAITA[Prieš],"&lt;0")," trūkst. Medžiag."),"---")</f>
        <v>#REF!</v>
      </c>
      <c r="J11" t="e">
        <f>CONCATENATE("Trūksta ",ROUND(SUM(#REF!),0)-1," rūš. medžiag.")</f>
        <v>#REF!</v>
      </c>
      <c r="T11" t="s">
        <v>29</v>
      </c>
      <c r="U11" t="s">
        <v>29</v>
      </c>
      <c r="V11" t="s">
        <v>29</v>
      </c>
    </row>
    <row r="12" spans="1:22" ht="23.25" customHeight="1" x14ac:dyDescent="0.25">
      <c r="C12" t="s">
        <v>21</v>
      </c>
      <c r="D12">
        <f>SUBTOTAL(103,APSKAITA[Kodas])</f>
        <v>8</v>
      </c>
      <c r="T12" t="s">
        <v>29</v>
      </c>
      <c r="U12" t="s">
        <v>29</v>
      </c>
      <c r="V12" t="s">
        <v>29</v>
      </c>
    </row>
    <row r="13" spans="1:22" ht="21.75" customHeight="1" x14ac:dyDescent="0.25">
      <c r="A13" t="s">
        <v>27</v>
      </c>
      <c r="B13" t="s">
        <v>14</v>
      </c>
      <c r="C13" t="s">
        <v>9</v>
      </c>
      <c r="D13" t="s">
        <v>4</v>
      </c>
      <c r="E13" t="s">
        <v>0</v>
      </c>
      <c r="F13" t="s">
        <v>8</v>
      </c>
      <c r="G13" t="s">
        <v>26</v>
      </c>
      <c r="H13" t="s">
        <v>1</v>
      </c>
      <c r="I13" t="s">
        <v>12</v>
      </c>
      <c r="J13" t="s">
        <v>18</v>
      </c>
      <c r="K13" t="s">
        <v>16</v>
      </c>
      <c r="L13" t="s">
        <v>30</v>
      </c>
      <c r="M13" t="s">
        <v>2</v>
      </c>
      <c r="N13" t="s">
        <v>15</v>
      </c>
      <c r="O13" t="s">
        <v>3</v>
      </c>
      <c r="P13" t="s">
        <v>5</v>
      </c>
      <c r="Q13" t="s">
        <v>10</v>
      </c>
      <c r="R13" t="s">
        <v>34</v>
      </c>
      <c r="S13" t="s">
        <v>35</v>
      </c>
      <c r="T13" t="s">
        <v>31</v>
      </c>
      <c r="U13" t="s">
        <v>32</v>
      </c>
      <c r="V13" t="s">
        <v>33</v>
      </c>
    </row>
    <row r="14" spans="1:22" x14ac:dyDescent="0.25">
      <c r="A14">
        <v>42913.675995370373</v>
      </c>
      <c r="B14" t="s">
        <v>80</v>
      </c>
      <c r="C14" t="s">
        <v>6</v>
      </c>
      <c r="D14" t="s">
        <v>20</v>
      </c>
      <c r="E14">
        <v>0</v>
      </c>
      <c r="F14">
        <v>0</v>
      </c>
      <c r="G14" s="2">
        <v>43831.714444444442</v>
      </c>
      <c r="I14" t="e">
        <f>CONCATENATE(VLOOKUP(APSKAITA[[#This Row],[Kodas]],#REF!,COUNTA(#REF!),0),"i:",VLOOKUP(APSKAITA[[#This Row],[Kodas]],#REF!,COUNTA(#REF!),0),"")</f>
        <v>#REF!</v>
      </c>
      <c r="J14" t="e">
        <f>IF(ISERROR(VLOOKUP(APSKAITA[[#This Row],[Kodas]],#REF!,1,0)),(VLOOKUP(APSKAITA[[#This Row],[Kodas]],#REF!,COUNTA(#REF!),0)),VLOOKUP(APSKAITA[[#This Row],[Kodas]],#REF!,COUNTA(#REF!),0))</f>
        <v>#REF!</v>
      </c>
      <c r="K14" t="e">
        <f>VLOOKUP(APSKAITA[[#This Row],[Kodas]],#REF!,COUNTA(#REF!),0)</f>
        <v>#REF!</v>
      </c>
      <c r="L14" t="e">
        <f>IF(#REF!="","",IF(#REF!&gt;0,CONCATENATE(VLOOKUP(APSKAITA[[#This Row],[Kodas]],#REF!,2,0),"↑",ROW()-VLOOKUP(APSKAITA[[#This Row],[Kodas]],#REF!,COUNTA(#REF!),0)),CONCATENATE(VLOOKUP(APSKAITA[[#This Row],[Kodas]],#REF!,COUNTA(#REF!),0))))</f>
        <v>#REF!</v>
      </c>
      <c r="M14" t="e">
        <f ca="1">SUMIF(INDIRECT("D$1:D"&amp;ROW()),APSKAITA[[#This Row],[Kodas]],INDIRECT("AD$1:AD"&amp;ROW()))-#REF!</f>
        <v>#REF!</v>
      </c>
      <c r="N14" t="e">
        <f>IF(#REF!-APSKAITA[[#This Row],[Poreikis]]=0,"",#REF!-APSKAITA[[#This Row],[Poreikis]])</f>
        <v>#REF!</v>
      </c>
      <c r="O14">
        <f ca="1">SUMIF(INDIRECT("D$1:D"&amp;ROW()),APSKAITA[[#This Row],[Kodas]],INDIRECT("AD$1:AD"&amp;ROW()))</f>
        <v>0</v>
      </c>
      <c r="P14" t="e">
        <f>SUMIF(APSKAITA[Kodas],APSKAITA[[#This Row],[Kodas]],#REF!)</f>
        <v>#REF!</v>
      </c>
      <c r="Q14" t="str">
        <f>IF(APSKAITA[[#This Row],[Kodas]]="","",IF(ISERROR(VLOOKUP(APSKAITA[[#This Row],[Kodas]],#REF!,1,0)),"Naujas kodas",""))</f>
        <v>Naujas kodas</v>
      </c>
      <c r="R14">
        <f ca="1">COUNTIF(APSKAITA[BLOK_Nr],APSKAITA[BLOK_Nr])</f>
        <v>9</v>
      </c>
      <c r="S14" t="e">
        <f ca="1">IF(OFFSET(#REF!,-1,0)=#REF!,1,IF(#REF!=OFFSET(#REF!,-1,0),OFFSET(APSKAITA[[#This Row],[BLOK_Nr]],-1,0),OFFSET(APSKAITA[[#This Row],[BLOK_Nr]],-1,0)+1))</f>
        <v>#REF!</v>
      </c>
      <c r="T14" t="str">
        <f ca="1">IF(APSKAITA[[#This Row],[Data_Įkelta]]="","",IF(APSKAITA[[#This Row],[Data_Įkelta]]&lt;NOW()-1,TEXT(APSKAITA[[#This Row],[Data_Įkelta]],"mm.dd"),TEXT(APSKAITA[[#This Row],[Data_Įkelta]],"hh:mm")))</f>
        <v>06.27</v>
      </c>
      <c r="U14" t="str">
        <f>APSKAITA[[#This Row],[Paleidimai]]</f>
        <v>Duomenų skėlimo data</v>
      </c>
      <c r="V14" t="str">
        <f>APSKAITA[[#This Row],[Projektas]]&amp;" "</f>
        <v xml:space="preserve">X </v>
      </c>
    </row>
    <row r="15" spans="1:22" x14ac:dyDescent="0.25">
      <c r="A15">
        <v>42913.656914930558</v>
      </c>
      <c r="B15" t="s">
        <v>78</v>
      </c>
      <c r="C15" t="s">
        <v>81</v>
      </c>
      <c r="D15" t="s">
        <v>82</v>
      </c>
      <c r="E15">
        <v>13</v>
      </c>
      <c r="F15">
        <v>13</v>
      </c>
      <c r="G15" s="2">
        <v>43831.714444444442</v>
      </c>
      <c r="H15" t="s">
        <v>79</v>
      </c>
      <c r="I15" t="e">
        <f>CONCATENATE(VLOOKUP(APSKAITA[[#This Row],[Kodas]],#REF!,COUNTA(#REF!),0),"i:",VLOOKUP(APSKAITA[[#This Row],[Kodas]],#REF!,COUNTA(#REF!),0),"")</f>
        <v>#REF!</v>
      </c>
      <c r="J15" t="e">
        <f>IF(ISERROR(VLOOKUP(APSKAITA[[#This Row],[Kodas]],#REF!,1,0)),(VLOOKUP(APSKAITA[[#This Row],[Kodas]],#REF!,COUNTA(#REF!),0)),VLOOKUP(APSKAITA[[#This Row],[Kodas]],#REF!,COUNTA(#REF!),0))</f>
        <v>#REF!</v>
      </c>
      <c r="K15" t="e">
        <f>VLOOKUP(APSKAITA[[#This Row],[Kodas]],#REF!,COUNTA(#REF!),0)</f>
        <v>#REF!</v>
      </c>
      <c r="L15" t="e">
        <f>IF(#REF!="","",IF(#REF!&gt;0,CONCATENATE(VLOOKUP(APSKAITA[[#This Row],[Kodas]],#REF!,2,0),"↑",ROW()-VLOOKUP(APSKAITA[[#This Row],[Kodas]],#REF!,COUNTA(#REF!),0)),CONCATENATE(VLOOKUP(APSKAITA[[#This Row],[Kodas]],#REF!,COUNTA(#REF!),0))))</f>
        <v>#REF!</v>
      </c>
      <c r="M15" t="e">
        <f ca="1">SUMIF(INDIRECT("D$1:D"&amp;ROW()),APSKAITA[[#This Row],[Kodas]],INDIRECT("AD$1:AD"&amp;ROW()))-#REF!</f>
        <v>#REF!</v>
      </c>
      <c r="N15" t="e">
        <f>IF(#REF!-APSKAITA[[#This Row],[Poreikis]]=0,"",#REF!-APSKAITA[[#This Row],[Poreikis]])</f>
        <v>#REF!</v>
      </c>
      <c r="O15">
        <f ca="1">SUMIF(INDIRECT("D$1:D"&amp;ROW()),APSKAITA[[#This Row],[Kodas]],INDIRECT("AD$1:AD"&amp;ROW()))</f>
        <v>0</v>
      </c>
      <c r="P15" t="e">
        <f>SUMIF(APSKAITA[Kodas],APSKAITA[[#This Row],[Kodas]],#REF!)</f>
        <v>#REF!</v>
      </c>
      <c r="Q15" t="str">
        <f>IF(APSKAITA[[#This Row],[Kodas]]="","",IF(ISERROR(VLOOKUP(APSKAITA[[#This Row],[Kodas]],#REF!,1,0)),"Naujas kodas",""))</f>
        <v>Naujas kodas</v>
      </c>
      <c r="R15">
        <f ca="1">COUNTIF(APSKAITA[BLOK_Nr],APSKAITA[BLOK_Nr])</f>
        <v>9</v>
      </c>
      <c r="S15" t="e">
        <f ca="1">IF(OFFSET(#REF!,-1,0)=#REF!,1,IF(#REF!=OFFSET(#REF!,-1,0),OFFSET(APSKAITA[[#This Row],[BLOK_Nr]],-1,0),OFFSET(APSKAITA[[#This Row],[BLOK_Nr]],-1,0)+1))</f>
        <v>#REF!</v>
      </c>
      <c r="T15" t="str">
        <f ca="1">IF(APSKAITA[[#This Row],[Data_Įkelta]]="","",IF(APSKAITA[[#This Row],[Data_Įkelta]]&lt;NOW()-1,TEXT(APSKAITA[[#This Row],[Data_Įkelta]],"mm.dd"),TEXT(APSKAITA[[#This Row],[Data_Įkelta]],"hh:mm")))</f>
        <v>06.27</v>
      </c>
      <c r="U15" t="str">
        <f>APSKAITA[[#This Row],[Paleidimai]]</f>
        <v>SO1705025-MO-01 #Held=2600</v>
      </c>
      <c r="V15" t="str">
        <f>APSKAITA[[#This Row],[Projektas]]&amp;" "</f>
        <v xml:space="preserve">išv 07-10  pr </v>
      </c>
    </row>
    <row r="16" spans="1:22" x14ac:dyDescent="0.25">
      <c r="A16">
        <v>42913.656914930558</v>
      </c>
      <c r="B16" t="s">
        <v>78</v>
      </c>
      <c r="C16" t="s">
        <v>17</v>
      </c>
      <c r="D16" t="s">
        <v>28</v>
      </c>
      <c r="E16">
        <v>-950</v>
      </c>
      <c r="F16">
        <v>-950</v>
      </c>
      <c r="G16" s="2">
        <v>43831.714444444442</v>
      </c>
      <c r="H16" t="s">
        <v>83</v>
      </c>
      <c r="I16" t="e">
        <f>CONCATENATE(VLOOKUP(APSKAITA[[#This Row],[Kodas]],#REF!,COUNTA(#REF!),0),"i:",VLOOKUP(APSKAITA[[#This Row],[Kodas]],#REF!,COUNTA(#REF!),0),"")</f>
        <v>#REF!</v>
      </c>
      <c r="J16" t="e">
        <f>IF(ISERROR(VLOOKUP(APSKAITA[[#This Row],[Kodas]],#REF!,1,0)),(VLOOKUP(APSKAITA[[#This Row],[Kodas]],#REF!,COUNTA(#REF!),0)),VLOOKUP(APSKAITA[[#This Row],[Kodas]],#REF!,COUNTA(#REF!),0))</f>
        <v>#REF!</v>
      </c>
      <c r="K16" t="e">
        <f>VLOOKUP(APSKAITA[[#This Row],[Kodas]],#REF!,COUNTA(#REF!),0)</f>
        <v>#REF!</v>
      </c>
      <c r="L16" t="e">
        <f>IF(#REF!="","",IF(#REF!&gt;0,CONCATENATE(VLOOKUP(APSKAITA[[#This Row],[Kodas]],#REF!,2,0),"↑",ROW()-VLOOKUP(APSKAITA[[#This Row],[Kodas]],#REF!,COUNTA(#REF!),0)),CONCATENATE(VLOOKUP(APSKAITA[[#This Row],[Kodas]],#REF!,COUNTA(#REF!),0))))</f>
        <v>#REF!</v>
      </c>
      <c r="M16" t="e">
        <f ca="1">SUMIF(INDIRECT("D$1:D"&amp;ROW()),APSKAITA[[#This Row],[Kodas]],INDIRECT("AD$1:AD"&amp;ROW()))-#REF!</f>
        <v>#REF!</v>
      </c>
      <c r="N16" t="e">
        <f>IF(#REF!-APSKAITA[[#This Row],[Poreikis]]=0,"",#REF!-APSKAITA[[#This Row],[Poreikis]])</f>
        <v>#REF!</v>
      </c>
      <c r="O16">
        <f ca="1">SUMIF(INDIRECT("D$1:D"&amp;ROW()),APSKAITA[[#This Row],[Kodas]],INDIRECT("AD$1:AD"&amp;ROW()))</f>
        <v>0</v>
      </c>
      <c r="P16" t="e">
        <f>SUMIF(APSKAITA[Kodas],APSKAITA[[#This Row],[Kodas]],#REF!)</f>
        <v>#REF!</v>
      </c>
      <c r="Q16" t="str">
        <f>IF(APSKAITA[[#This Row],[Kodas]]="","",IF(ISERROR(VLOOKUP(APSKAITA[[#This Row],[Kodas]],#REF!,1,0)),"Naujas kodas",""))</f>
        <v>Naujas kodas</v>
      </c>
      <c r="R16">
        <f ca="1">COUNTIF(APSKAITA[BLOK_Nr],APSKAITA[BLOK_Nr])</f>
        <v>9</v>
      </c>
      <c r="S16" t="e">
        <f ca="1">IF(OFFSET(#REF!,-1,0)=#REF!,1,IF(#REF!=OFFSET(#REF!,-1,0),OFFSET(APSKAITA[[#This Row],[BLOK_Nr]],-1,0),OFFSET(APSKAITA[[#This Row],[BLOK_Nr]],-1,0)+1))</f>
        <v>#REF!</v>
      </c>
      <c r="T16" t="str">
        <f ca="1">IF(APSKAITA[[#This Row],[Data_Įkelta]]="","",IF(APSKAITA[[#This Row],[Data_Įkelta]]&lt;NOW()-1,TEXT(APSKAITA[[#This Row],[Data_Įkelta]],"mm.dd"),TEXT(APSKAITA[[#This Row],[Data_Įkelta]],"hh:mm")))</f>
        <v>06.27</v>
      </c>
      <c r="U16" t="str">
        <f>APSKAITA[[#This Row],[Paleidimai]]</f>
        <v>SO1705025-MO-01 #Held=2600</v>
      </c>
      <c r="V16" t="str">
        <f>APSKAITA[[#This Row],[Projektas]]&amp;" "</f>
        <v xml:space="preserve">Sharpcut 20 </v>
      </c>
    </row>
    <row r="17" spans="1:22" x14ac:dyDescent="0.25">
      <c r="A17" s="1">
        <v>43831.714166666665</v>
      </c>
      <c r="B17" t="s">
        <v>78</v>
      </c>
      <c r="C17" t="s">
        <v>75</v>
      </c>
      <c r="D17" t="s">
        <v>68</v>
      </c>
      <c r="E17">
        <v>-2600</v>
      </c>
      <c r="F17">
        <v>-2600</v>
      </c>
      <c r="G17" s="2">
        <v>43831.714444444442</v>
      </c>
      <c r="H17" t="s">
        <v>83</v>
      </c>
      <c r="I17" t="e">
        <f>CONCATENATE(VLOOKUP(APSKAITA[[#This Row],[Kodas]],#REF!,COUNTA(#REF!),0),"i:",VLOOKUP(APSKAITA[[#This Row],[Kodas]],#REF!,COUNTA(#REF!),0),"")</f>
        <v>#REF!</v>
      </c>
      <c r="J17" t="e">
        <f>IF(ISERROR(VLOOKUP(APSKAITA[[#This Row],[Kodas]],#REF!,1,0)),(VLOOKUP(APSKAITA[[#This Row],[Kodas]],#REF!,COUNTA(#REF!),0)),VLOOKUP(APSKAITA[[#This Row],[Kodas]],#REF!,COUNTA(#REF!),0))</f>
        <v>#REF!</v>
      </c>
      <c r="K17" t="e">
        <f>VLOOKUP(APSKAITA[[#This Row],[Kodas]],#REF!,COUNTA(#REF!),0)</f>
        <v>#REF!</v>
      </c>
      <c r="L17" t="e">
        <f>IF(#REF!="","",IF(#REF!&gt;0,CONCATENATE(VLOOKUP(APSKAITA[[#This Row],[Kodas]],#REF!,2,0),"↑",ROW()-VLOOKUP(APSKAITA[[#This Row],[Kodas]],#REF!,COUNTA(#REF!),0)),CONCATENATE(VLOOKUP(APSKAITA[[#This Row],[Kodas]],#REF!,COUNTA(#REF!),0))))</f>
        <v>#REF!</v>
      </c>
      <c r="M17" t="e">
        <f ca="1">SUMIF(INDIRECT("D$1:D"&amp;ROW()),APSKAITA[[#This Row],[Kodas]],INDIRECT("AD$1:AD"&amp;ROW()))-#REF!</f>
        <v>#REF!</v>
      </c>
      <c r="N17" t="e">
        <f>IF(#REF!-APSKAITA[[#This Row],[Poreikis]]=0,"",#REF!-APSKAITA[[#This Row],[Poreikis]])</f>
        <v>#REF!</v>
      </c>
      <c r="O17">
        <f ca="1">SUMIF(INDIRECT("D$1:D"&amp;ROW()),APSKAITA[[#This Row],[Kodas]],INDIRECT("AD$1:AD"&amp;ROW()))</f>
        <v>0</v>
      </c>
      <c r="P17" t="e">
        <f>SUMIF(APSKAITA[Kodas],APSKAITA[[#This Row],[Kodas]],#REF!)</f>
        <v>#REF!</v>
      </c>
      <c r="Q17" t="str">
        <f>IF(APSKAITA[[#This Row],[Kodas]]="","",IF(ISERROR(VLOOKUP(APSKAITA[[#This Row],[Kodas]],#REF!,1,0)),"Naujas kodas",""))</f>
        <v>Naujas kodas</v>
      </c>
      <c r="R17">
        <f ca="1">COUNTIF(APSKAITA[BLOK_Nr],APSKAITA[BLOK_Nr])</f>
        <v>9</v>
      </c>
      <c r="S17" t="e">
        <f ca="1">IF(OFFSET(#REF!,-1,0)=#REF!,1,IF(#REF!=OFFSET(#REF!,-1,0),OFFSET(APSKAITA[[#This Row],[BLOK_Nr]],-1,0),OFFSET(APSKAITA[[#This Row],[BLOK_Nr]],-1,0)+1))</f>
        <v>#REF!</v>
      </c>
      <c r="T17" t="str">
        <f ca="1">IF(APSKAITA[[#This Row],[Data_Įkelta]]="","",IF(APSKAITA[[#This Row],[Data_Įkelta]]&lt;NOW()-1,TEXT(APSKAITA[[#This Row],[Data_Įkelta]],"mm.dd"),TEXT(APSKAITA[[#This Row],[Data_Įkelta]],"hh:mm")))</f>
        <v>17:08</v>
      </c>
      <c r="U17" t="str">
        <f>APSKAITA[[#This Row],[Paleidimai]]</f>
        <v>SO1705025-MO-01 #Held=2600</v>
      </c>
      <c r="V17" t="str">
        <f>APSKAITA[[#This Row],[Projektas]]&amp;" "</f>
        <v xml:space="preserve">Held_038.1 </v>
      </c>
    </row>
    <row r="18" spans="1:22" x14ac:dyDescent="0.25">
      <c r="A18" s="1">
        <v>43831.714212962965</v>
      </c>
      <c r="B18" t="s">
        <v>78</v>
      </c>
      <c r="C18" t="s">
        <v>75</v>
      </c>
      <c r="D18" t="s">
        <v>69</v>
      </c>
      <c r="E18">
        <v>-2600</v>
      </c>
      <c r="F18">
        <v>-2600</v>
      </c>
      <c r="G18" s="2">
        <v>43831.714444444442</v>
      </c>
      <c r="H18" t="s">
        <v>83</v>
      </c>
      <c r="I18" t="e">
        <f>CONCATENATE(VLOOKUP(APSKAITA[[#This Row],[Kodas]],#REF!,COUNTA(#REF!),0),"i:",VLOOKUP(APSKAITA[[#This Row],[Kodas]],#REF!,COUNTA(#REF!),0),"")</f>
        <v>#REF!</v>
      </c>
      <c r="J18" t="e">
        <f>IF(ISERROR(VLOOKUP(APSKAITA[[#This Row],[Kodas]],#REF!,1,0)),(VLOOKUP(APSKAITA[[#This Row],[Kodas]],#REF!,COUNTA(#REF!),0)),VLOOKUP(APSKAITA[[#This Row],[Kodas]],#REF!,COUNTA(#REF!),0))</f>
        <v>#REF!</v>
      </c>
      <c r="K18" t="e">
        <f>VLOOKUP(APSKAITA[[#This Row],[Kodas]],#REF!,COUNTA(#REF!),0)</f>
        <v>#REF!</v>
      </c>
      <c r="L18" t="e">
        <f>IF(#REF!="","",IF(#REF!&gt;0,CONCATENATE(VLOOKUP(APSKAITA[[#This Row],[Kodas]],#REF!,2,0),"↑",ROW()-VLOOKUP(APSKAITA[[#This Row],[Kodas]],#REF!,COUNTA(#REF!),0)),CONCATENATE(VLOOKUP(APSKAITA[[#This Row],[Kodas]],#REF!,COUNTA(#REF!),0))))</f>
        <v>#REF!</v>
      </c>
      <c r="M18" t="e">
        <f ca="1">SUMIF(INDIRECT("D$1:D"&amp;ROW()),APSKAITA[[#This Row],[Kodas]],INDIRECT("AD$1:AD"&amp;ROW()))-#REF!</f>
        <v>#REF!</v>
      </c>
      <c r="N18" t="e">
        <f>IF(#REF!-APSKAITA[[#This Row],[Poreikis]]=0,"",#REF!-APSKAITA[[#This Row],[Poreikis]])</f>
        <v>#REF!</v>
      </c>
      <c r="O18">
        <f ca="1">SUMIF(INDIRECT("D$1:D"&amp;ROW()),APSKAITA[[#This Row],[Kodas]],INDIRECT("AD$1:AD"&amp;ROW()))</f>
        <v>0</v>
      </c>
      <c r="P18" t="e">
        <f>SUMIF(APSKAITA[Kodas],APSKAITA[[#This Row],[Kodas]],#REF!)</f>
        <v>#REF!</v>
      </c>
      <c r="Q18" t="str">
        <f>IF(APSKAITA[[#This Row],[Kodas]]="","",IF(ISERROR(VLOOKUP(APSKAITA[[#This Row],[Kodas]],#REF!,1,0)),"Naujas kodas",""))</f>
        <v>Naujas kodas</v>
      </c>
      <c r="R18">
        <f ca="1">COUNTIF(APSKAITA[BLOK_Nr],APSKAITA[BLOK_Nr])</f>
        <v>9</v>
      </c>
      <c r="S18" t="e">
        <f ca="1">IF(OFFSET(#REF!,-1,0)=#REF!,1,IF(#REF!=OFFSET(#REF!,-1,0),OFFSET(APSKAITA[[#This Row],[BLOK_Nr]],-1,0),OFFSET(APSKAITA[[#This Row],[BLOK_Nr]],-1,0)+1))</f>
        <v>#REF!</v>
      </c>
      <c r="T18" t="str">
        <f ca="1">IF(APSKAITA[[#This Row],[Data_Įkelta]]="","",IF(APSKAITA[[#This Row],[Data_Įkelta]]&lt;NOW()-1,TEXT(APSKAITA[[#This Row],[Data_Įkelta]],"mm.dd"),TEXT(APSKAITA[[#This Row],[Data_Įkelta]],"hh:mm")))</f>
        <v>17:08</v>
      </c>
      <c r="U18" t="str">
        <f>APSKAITA[[#This Row],[Paleidimai]]</f>
        <v>SO1705025-MO-01 #Held=2600</v>
      </c>
      <c r="V18" t="str">
        <f>APSKAITA[[#This Row],[Projektas]]&amp;" "</f>
        <v xml:space="preserve">Held_038.1 </v>
      </c>
    </row>
    <row r="19" spans="1:22" x14ac:dyDescent="0.25">
      <c r="A19" s="1">
        <v>43831.714212962965</v>
      </c>
      <c r="B19" t="s">
        <v>78</v>
      </c>
      <c r="C19" t="s">
        <v>75</v>
      </c>
      <c r="D19" t="s">
        <v>70</v>
      </c>
      <c r="E19">
        <v>-250</v>
      </c>
      <c r="F19">
        <v>-250</v>
      </c>
      <c r="G19" s="2">
        <v>43831.714444444442</v>
      </c>
      <c r="H19" t="s">
        <v>83</v>
      </c>
      <c r="I19" t="e">
        <f>CONCATENATE(VLOOKUP(APSKAITA[[#This Row],[Kodas]],#REF!,COUNTA(#REF!),0),"i:",VLOOKUP(APSKAITA[[#This Row],[Kodas]],#REF!,COUNTA(#REF!),0),"")</f>
        <v>#REF!</v>
      </c>
      <c r="J19" t="e">
        <f>IF(ISERROR(VLOOKUP(APSKAITA[[#This Row],[Kodas]],#REF!,1,0)),(VLOOKUP(APSKAITA[[#This Row],[Kodas]],#REF!,COUNTA(#REF!),0)),VLOOKUP(APSKAITA[[#This Row],[Kodas]],#REF!,COUNTA(#REF!),0))</f>
        <v>#REF!</v>
      </c>
      <c r="K19" t="e">
        <f>VLOOKUP(APSKAITA[[#This Row],[Kodas]],#REF!,COUNTA(#REF!),0)</f>
        <v>#REF!</v>
      </c>
      <c r="L19" t="e">
        <f>IF(#REF!="","",IF(#REF!&gt;0,CONCATENATE(VLOOKUP(APSKAITA[[#This Row],[Kodas]],#REF!,2,0),"↑",ROW()-VLOOKUP(APSKAITA[[#This Row],[Kodas]],#REF!,COUNTA(#REF!),0)),CONCATENATE(VLOOKUP(APSKAITA[[#This Row],[Kodas]],#REF!,COUNTA(#REF!),0))))</f>
        <v>#REF!</v>
      </c>
      <c r="M19" t="e">
        <f ca="1">SUMIF(INDIRECT("D$1:D"&amp;ROW()),APSKAITA[[#This Row],[Kodas]],INDIRECT("AD$1:AD"&amp;ROW()))-#REF!</f>
        <v>#REF!</v>
      </c>
      <c r="N19" t="e">
        <f>IF(#REF!-APSKAITA[[#This Row],[Poreikis]]=0,"",#REF!-APSKAITA[[#This Row],[Poreikis]])</f>
        <v>#REF!</v>
      </c>
      <c r="O19">
        <f ca="1">SUMIF(INDIRECT("D$1:D"&amp;ROW()),APSKAITA[[#This Row],[Kodas]],INDIRECT("AD$1:AD"&amp;ROW()))</f>
        <v>0</v>
      </c>
      <c r="P19" t="e">
        <f>SUMIF(APSKAITA[Kodas],APSKAITA[[#This Row],[Kodas]],#REF!)</f>
        <v>#REF!</v>
      </c>
      <c r="Q19" t="str">
        <f>IF(APSKAITA[[#This Row],[Kodas]]="","",IF(ISERROR(VLOOKUP(APSKAITA[[#This Row],[Kodas]],#REF!,1,0)),"Naujas kodas",""))</f>
        <v>Naujas kodas</v>
      </c>
      <c r="R19">
        <f ca="1">COUNTIF(APSKAITA[BLOK_Nr],APSKAITA[BLOK_Nr])</f>
        <v>9</v>
      </c>
      <c r="S19" t="e">
        <f ca="1">IF(OFFSET(#REF!,-1,0)=#REF!,1,IF(#REF!=OFFSET(#REF!,-1,0),OFFSET(APSKAITA[[#This Row],[BLOK_Nr]],-1,0),OFFSET(APSKAITA[[#This Row],[BLOK_Nr]],-1,0)+1))</f>
        <v>#REF!</v>
      </c>
      <c r="T19" t="str">
        <f ca="1">IF(APSKAITA[[#This Row],[Data_Įkelta]]="","",IF(APSKAITA[[#This Row],[Data_Įkelta]]&lt;NOW()-1,TEXT(APSKAITA[[#This Row],[Data_Įkelta]],"mm.dd"),TEXT(APSKAITA[[#This Row],[Data_Įkelta]],"hh:mm")))</f>
        <v>17:08</v>
      </c>
      <c r="U19" t="str">
        <f>APSKAITA[[#This Row],[Paleidimai]]</f>
        <v>SO1705025-MO-01 #Held=2600</v>
      </c>
      <c r="V19" t="str">
        <f>APSKAITA[[#This Row],[Projektas]]&amp;" "</f>
        <v xml:space="preserve">Held_038.1 </v>
      </c>
    </row>
    <row r="20" spans="1:22" x14ac:dyDescent="0.25">
      <c r="A20" s="1">
        <v>43831.714212962965</v>
      </c>
      <c r="B20" t="s">
        <v>78</v>
      </c>
      <c r="C20" t="s">
        <v>75</v>
      </c>
      <c r="D20" t="s">
        <v>77</v>
      </c>
      <c r="E20">
        <v>-250</v>
      </c>
      <c r="F20">
        <v>-250</v>
      </c>
      <c r="G20" s="2">
        <v>43831.714444444442</v>
      </c>
      <c r="H20" t="s">
        <v>83</v>
      </c>
      <c r="I20" t="e">
        <f>CONCATENATE(VLOOKUP(APSKAITA[[#This Row],[Kodas]],#REF!,COUNTA(#REF!),0),"i:",VLOOKUP(APSKAITA[[#This Row],[Kodas]],#REF!,COUNTA(#REF!),0),"")</f>
        <v>#REF!</v>
      </c>
      <c r="J20" t="e">
        <f>IF(ISERROR(VLOOKUP(APSKAITA[[#This Row],[Kodas]],#REF!,1,0)),(VLOOKUP(APSKAITA[[#This Row],[Kodas]],#REF!,COUNTA(#REF!),0)),VLOOKUP(APSKAITA[[#This Row],[Kodas]],#REF!,COUNTA(#REF!),0))</f>
        <v>#REF!</v>
      </c>
      <c r="K20" t="e">
        <f>VLOOKUP(APSKAITA[[#This Row],[Kodas]],#REF!,COUNTA(#REF!),0)</f>
        <v>#REF!</v>
      </c>
      <c r="L20" t="e">
        <f>IF(#REF!="","",IF(#REF!&gt;0,CONCATENATE(VLOOKUP(APSKAITA[[#This Row],[Kodas]],#REF!,2,0),"↑",ROW()-VLOOKUP(APSKAITA[[#This Row],[Kodas]],#REF!,COUNTA(#REF!),0)),CONCATENATE(VLOOKUP(APSKAITA[[#This Row],[Kodas]],#REF!,COUNTA(#REF!),0))))</f>
        <v>#REF!</v>
      </c>
      <c r="M20" t="e">
        <f ca="1">SUMIF(INDIRECT("D$1:D"&amp;ROW()),APSKAITA[[#This Row],[Kodas]],INDIRECT("AD$1:AD"&amp;ROW()))-#REF!</f>
        <v>#REF!</v>
      </c>
      <c r="N20" t="e">
        <f>IF(#REF!-APSKAITA[[#This Row],[Poreikis]]=0,"",#REF!-APSKAITA[[#This Row],[Poreikis]])</f>
        <v>#REF!</v>
      </c>
      <c r="O20">
        <f ca="1">SUMIF(INDIRECT("D$1:D"&amp;ROW()),APSKAITA[[#This Row],[Kodas]],INDIRECT("AD$1:AD"&amp;ROW()))</f>
        <v>0</v>
      </c>
      <c r="P20" t="e">
        <f>SUMIF(APSKAITA[Kodas],APSKAITA[[#This Row],[Kodas]],#REF!)</f>
        <v>#REF!</v>
      </c>
      <c r="Q20" t="str">
        <f>IF(APSKAITA[[#This Row],[Kodas]]="","",IF(ISERROR(VLOOKUP(APSKAITA[[#This Row],[Kodas]],#REF!,1,0)),"Naujas kodas",""))</f>
        <v>Naujas kodas</v>
      </c>
      <c r="R20">
        <f ca="1">COUNTIF(APSKAITA[BLOK_Nr],APSKAITA[BLOK_Nr])</f>
        <v>9</v>
      </c>
      <c r="S20" t="e">
        <f ca="1">IF(OFFSET(#REF!,-1,0)=#REF!,1,IF(#REF!=OFFSET(#REF!,-1,0),OFFSET(APSKAITA[[#This Row],[BLOK_Nr]],-1,0),OFFSET(APSKAITA[[#This Row],[BLOK_Nr]],-1,0)+1))</f>
        <v>#REF!</v>
      </c>
      <c r="T20" t="str">
        <f ca="1">IF(APSKAITA[[#This Row],[Data_Įkelta]]="","",IF(APSKAITA[[#This Row],[Data_Įkelta]]&lt;NOW()-1,TEXT(APSKAITA[[#This Row],[Data_Įkelta]],"mm.dd"),TEXT(APSKAITA[[#This Row],[Data_Įkelta]],"hh:mm")))</f>
        <v>17:08</v>
      </c>
      <c r="U20" t="str">
        <f>APSKAITA[[#This Row],[Paleidimai]]</f>
        <v>SO1705025-MO-01 #Held=2600</v>
      </c>
      <c r="V20" t="str">
        <f>APSKAITA[[#This Row],[Projektas]]&amp;" "</f>
        <v xml:space="preserve">Held_038.1 </v>
      </c>
    </row>
    <row r="21" spans="1:22" x14ac:dyDescent="0.25">
      <c r="A21" s="1">
        <v>43831.714212962965</v>
      </c>
      <c r="B21" t="s">
        <v>78</v>
      </c>
      <c r="C21" t="s">
        <v>75</v>
      </c>
      <c r="D21" t="s">
        <v>67</v>
      </c>
      <c r="E21">
        <v>-250</v>
      </c>
      <c r="F21">
        <v>-250</v>
      </c>
      <c r="G21" s="2">
        <v>43831.714444444442</v>
      </c>
      <c r="H21" t="s">
        <v>83</v>
      </c>
      <c r="I21" t="e">
        <f>CONCATENATE(VLOOKUP(APSKAITA[[#This Row],[Kodas]],#REF!,COUNTA(#REF!),0),"i:",VLOOKUP(APSKAITA[[#This Row],[Kodas]],#REF!,COUNTA(#REF!),0),"")</f>
        <v>#REF!</v>
      </c>
      <c r="J21" t="e">
        <f>IF(ISERROR(VLOOKUP(APSKAITA[[#This Row],[Kodas]],#REF!,1,0)),(VLOOKUP(APSKAITA[[#This Row],[Kodas]],#REF!,COUNTA(#REF!),0)),VLOOKUP(APSKAITA[[#This Row],[Kodas]],#REF!,COUNTA(#REF!),0))</f>
        <v>#REF!</v>
      </c>
      <c r="K21" t="e">
        <f>VLOOKUP(APSKAITA[[#This Row],[Kodas]],#REF!,COUNTA(#REF!),0)</f>
        <v>#REF!</v>
      </c>
      <c r="L21" t="e">
        <f>IF(#REF!="","",IF(#REF!&gt;0,CONCATENATE(VLOOKUP(APSKAITA[[#This Row],[Kodas]],#REF!,2,0),"↑",ROW()-VLOOKUP(APSKAITA[[#This Row],[Kodas]],#REF!,COUNTA(#REF!),0)),CONCATENATE(VLOOKUP(APSKAITA[[#This Row],[Kodas]],#REF!,COUNTA(#REF!),0))))</f>
        <v>#REF!</v>
      </c>
      <c r="M21" t="e">
        <f ca="1">SUMIF(INDIRECT("D$1:D"&amp;ROW()),APSKAITA[[#This Row],[Kodas]],INDIRECT("AD$1:AD"&amp;ROW()))-#REF!</f>
        <v>#REF!</v>
      </c>
      <c r="N21" t="e">
        <f>IF(#REF!-APSKAITA[[#This Row],[Poreikis]]=0,"",#REF!-APSKAITA[[#This Row],[Poreikis]])</f>
        <v>#REF!</v>
      </c>
      <c r="O21">
        <f ca="1">SUMIF(INDIRECT("D$1:D"&amp;ROW()),APSKAITA[[#This Row],[Kodas]],INDIRECT("AD$1:AD"&amp;ROW()))</f>
        <v>0</v>
      </c>
      <c r="P21" t="e">
        <f>SUMIF(APSKAITA[Kodas],APSKAITA[[#This Row],[Kodas]],#REF!)</f>
        <v>#REF!</v>
      </c>
      <c r="Q21" t="str">
        <f>IF(APSKAITA[[#This Row],[Kodas]]="","",IF(ISERROR(VLOOKUP(APSKAITA[[#This Row],[Kodas]],#REF!,1,0)),"Naujas kodas",""))</f>
        <v>Naujas kodas</v>
      </c>
      <c r="R21">
        <f ca="1">COUNTIF(APSKAITA[BLOK_Nr],APSKAITA[BLOK_Nr])</f>
        <v>9</v>
      </c>
      <c r="S21" t="e">
        <f ca="1">IF(OFFSET(#REF!,-1,0)=#REF!,1,IF(#REF!=OFFSET(#REF!,-1,0),OFFSET(APSKAITA[[#This Row],[BLOK_Nr]],-1,0),OFFSET(APSKAITA[[#This Row],[BLOK_Nr]],-1,0)+1))</f>
        <v>#REF!</v>
      </c>
      <c r="T21" t="str">
        <f ca="1">IF(APSKAITA[[#This Row],[Data_Įkelta]]="","",IF(APSKAITA[[#This Row],[Data_Įkelta]]&lt;NOW()-1,TEXT(APSKAITA[[#This Row],[Data_Įkelta]],"mm.dd"),TEXT(APSKAITA[[#This Row],[Data_Įkelta]],"hh:mm")))</f>
        <v>17:08</v>
      </c>
      <c r="U21" t="str">
        <f>APSKAITA[[#This Row],[Paleidimai]]</f>
        <v>SO1705025-MO-01 #Held=2600</v>
      </c>
      <c r="V21" t="str">
        <f>APSKAITA[[#This Row],[Projektas]]&amp;" "</f>
        <v xml:space="preserve">Held_038.1 </v>
      </c>
    </row>
    <row r="22" spans="1:22" x14ac:dyDescent="0.25">
      <c r="A22" s="1">
        <v>43831.714097222219</v>
      </c>
      <c r="G22" s="2">
        <v>43831.714444444442</v>
      </c>
      <c r="I22" t="e">
        <f>CONCATENATE(VLOOKUP(APSKAITA[[#This Row],[Kodas]],#REF!,COUNTA(#REF!),0),"i:",VLOOKUP(APSKAITA[[#This Row],[Kodas]],#REF!,COUNTA(#REF!),0),"")</f>
        <v>#REF!</v>
      </c>
      <c r="J22" t="e">
        <f>IF(ISERROR(VLOOKUP(APSKAITA[[#This Row],[Kodas]],#REF!,1,0)),(VLOOKUP(APSKAITA[[#This Row],[Kodas]],#REF!,COUNTA(#REF!),0)),VLOOKUP(APSKAITA[[#This Row],[Kodas]],#REF!,COUNTA(#REF!),0))</f>
        <v>#REF!</v>
      </c>
      <c r="K22" t="e">
        <f>VLOOKUP(APSKAITA[[#This Row],[Kodas]],#REF!,COUNTA(#REF!),0)</f>
        <v>#REF!</v>
      </c>
      <c r="L22" t="e">
        <f>IF(#REF!="","",IF(#REF!&gt;0,CONCATENATE(VLOOKUP(APSKAITA[[#This Row],[Kodas]],#REF!,2,0),"↑",ROW()-VLOOKUP(APSKAITA[[#This Row],[Kodas]],#REF!,COUNTA(#REF!),0)),CONCATENATE(VLOOKUP(APSKAITA[[#This Row],[Kodas]],#REF!,COUNTA(#REF!),0))))</f>
        <v>#REF!</v>
      </c>
      <c r="M22" t="e">
        <f ca="1">SUMIF(INDIRECT("D$1:D"&amp;ROW()),APSKAITA[[#This Row],[Kodas]],INDIRECT("AD$1:AD"&amp;ROW()))-#REF!</f>
        <v>#REF!</v>
      </c>
      <c r="N22" t="e">
        <f>IF(#REF!-APSKAITA[[#This Row],[Poreikis]]=0,"",#REF!-APSKAITA[[#This Row],[Poreikis]])</f>
        <v>#REF!</v>
      </c>
      <c r="O22">
        <f ca="1">SUMIF(INDIRECT("D$1:D"&amp;ROW()),APSKAITA[[#This Row],[Kodas]],INDIRECT("AD$1:AD"&amp;ROW()))</f>
        <v>0</v>
      </c>
      <c r="P22" t="e">
        <f>SUMIF(APSKAITA[Kodas],APSKAITA[[#This Row],[Kodas]],#REF!)</f>
        <v>#REF!</v>
      </c>
      <c r="Q22" t="str">
        <f>IF(APSKAITA[[#This Row],[Kodas]]="","",IF(ISERROR(VLOOKUP(APSKAITA[[#This Row],[Kodas]],#REF!,1,0)),"Naujas kodas",""))</f>
        <v/>
      </c>
      <c r="R22">
        <f ca="1">COUNTIF(APSKAITA[BLOK_Nr],APSKAITA[BLOK_Nr])</f>
        <v>9</v>
      </c>
      <c r="S22" t="e">
        <f ca="1">IF(OFFSET(#REF!,-1,0)=#REF!,1,IF(#REF!=OFFSET(#REF!,-1,0),OFFSET(APSKAITA[[#This Row],[BLOK_Nr]],-1,0),OFFSET(APSKAITA[[#This Row],[BLOK_Nr]],-1,0)+1))</f>
        <v>#REF!</v>
      </c>
      <c r="T22" t="str">
        <f ca="1">IF(APSKAITA[[#This Row],[Data_Įkelta]]="","",IF(APSKAITA[[#This Row],[Data_Įkelta]]&lt;NOW()-1,TEXT(APSKAITA[[#This Row],[Data_Įkelta]],"mm.dd"),TEXT(APSKAITA[[#This Row],[Data_Įkelta]],"hh:mm")))</f>
        <v>17:08</v>
      </c>
      <c r="U22">
        <f>APSKAITA[[#This Row],[Paleidimai]]</f>
        <v>0</v>
      </c>
      <c r="V22" t="str">
        <f>APSKAITA[[#This Row],[Projektas]]&amp;" "</f>
        <v xml:space="preserve"> </v>
      </c>
    </row>
  </sheetData>
  <sortState ref="D2332:E2343">
    <sortCondition ref="D2332"/>
  </sortState>
  <hyperlinks>
    <hyperlink ref="C12" location="'SMMNA blankas'!H2" display="SMMNA blankas'!H2"/>
  </hyperlinks>
  <pageMargins left="0.23622047244094491" right="0.19685039370078741" top="0.35433070866141736" bottom="0.35433070866141736" header="0.15748031496062992" footer="0.19685039370078741"/>
  <pageSetup paperSize="9" orientation="landscape" r:id="rId1"/>
  <headerFooter>
    <oddHeader>&amp;L&amp;A&amp;CTomas V.&amp;R&amp;D &amp;T</oddHeader>
    <oddFooter>&amp;R&amp;P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Remelis">
                <anchor moveWithCells="1" sizeWithCells="1">
                  <from>
                    <xdr:col>9</xdr:col>
                    <xdr:colOff>2028825</xdr:colOff>
                    <xdr:row>0</xdr:row>
                    <xdr:rowOff>0</xdr:rowOff>
                  </from>
                  <to>
                    <xdr:col>9</xdr:col>
                    <xdr:colOff>3228975</xdr:colOff>
                    <xdr:row>4</xdr:row>
                    <xdr:rowOff>57150</xdr:rowOff>
                  </to>
                </anchor>
              </controlPr>
            </control>
          </mc:Choice>
        </mc:AlternateContent>
        <mc:AlternateContent xmlns:mc="http://schemas.openxmlformats.org/markup-compatibility/2006">
          <mc:Choice Requires="x14">
            <control shapeId="1028" r:id="rId5" name="Button 4">
              <controlPr defaultSize="0" print="0" autoFill="0" autoPict="0" macro="[0]!IkelimoDataLaikas">
                <anchor moveWithCells="1" sizeWithCells="1">
                  <from>
                    <xdr:col>0</xdr:col>
                    <xdr:colOff>0</xdr:colOff>
                    <xdr:row>10</xdr:row>
                    <xdr:rowOff>0</xdr:rowOff>
                  </from>
                  <to>
                    <xdr:col>2</xdr:col>
                    <xdr:colOff>0</xdr:colOff>
                    <xdr:row>12</xdr:row>
                    <xdr:rowOff>0</xdr:rowOff>
                  </to>
                </anchor>
              </controlPr>
            </control>
          </mc:Choice>
        </mc:AlternateContent>
        <mc:AlternateContent xmlns:mc="http://schemas.openxmlformats.org/markup-compatibility/2006">
          <mc:Choice Requires="x14">
            <control shapeId="1029" r:id="rId6" name="Button 5">
              <controlPr defaultSize="0" print="0" autoFill="0" autoPict="0" macro="[0]!IsadvimoDataLaikas">
                <anchor moveWithCells="1" sizeWithCells="1">
                  <from>
                    <xdr:col>4</xdr:col>
                    <xdr:colOff>0</xdr:colOff>
                    <xdr:row>10</xdr:row>
                    <xdr:rowOff>0</xdr:rowOff>
                  </from>
                  <to>
                    <xdr:col>7</xdr:col>
                    <xdr:colOff>0</xdr:colOff>
                    <xdr:row>12</xdr:row>
                    <xdr:rowOff>0</xdr:rowOff>
                  </to>
                </anchor>
              </controlPr>
            </control>
          </mc:Choice>
        </mc:AlternateContent>
        <mc:AlternateContent xmlns:mc="http://schemas.openxmlformats.org/markup-compatibility/2006">
          <mc:Choice Requires="x14">
            <control shapeId="1032" r:id="rId7" name="Button 8">
              <controlPr defaultSize="0" print="0" autoFill="0" autoPict="0" macro="[0]!QuickGamPlan">
                <anchor moveWithCells="1" sizeWithCells="1">
                  <from>
                    <xdr:col>15</xdr:col>
                    <xdr:colOff>228600</xdr:colOff>
                    <xdr:row>10</xdr:row>
                    <xdr:rowOff>0</xdr:rowOff>
                  </from>
                  <to>
                    <xdr:col>16</xdr:col>
                    <xdr:colOff>609600</xdr:colOff>
                    <xdr:row>12</xdr:row>
                    <xdr:rowOff>0</xdr:rowOff>
                  </to>
                </anchor>
              </controlPr>
            </control>
          </mc:Choice>
        </mc:AlternateContent>
      </controls>
    </mc:Choice>
  </mc:AlternateContent>
  <tableParts count="1">
    <tablePart r:id="rId8"/>
  </tableParts>
  <extLst>
    <ext xmlns:x15="http://schemas.microsoft.com/office/spreadsheetml/2010/11/main" uri="{3A4CF648-6AED-40f4-86FF-DC5316D8AED3}">
      <x14:slicerList xmlns:x14="http://schemas.microsoft.com/office/spreadsheetml/2009/9/main">
        <x14:slicer r:id="rId9"/>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B0F0"/>
  </sheetPr>
  <dimension ref="A1:B2"/>
  <sheetViews>
    <sheetView zoomScaleNormal="100" workbookViewId="0">
      <pane ySplit="1" topLeftCell="A2" activePane="bottomLeft" state="frozen"/>
      <selection activeCell="A2" sqref="A2"/>
      <selection pane="bottomLeft" activeCell="C2" sqref="C2"/>
    </sheetView>
  </sheetViews>
  <sheetFormatPr defaultColWidth="21.85546875" defaultRowHeight="15" x14ac:dyDescent="0.25"/>
  <cols>
    <col min="1" max="1" width="15.28515625" bestFit="1" customWidth="1"/>
    <col min="2" max="2" width="21.42578125" bestFit="1" customWidth="1"/>
    <col min="3" max="3" width="15.28515625" bestFit="1" customWidth="1"/>
    <col min="4" max="4" width="35.5703125" bestFit="1" customWidth="1"/>
    <col min="5" max="5" width="21" bestFit="1" customWidth="1"/>
    <col min="6" max="6" width="10.7109375" bestFit="1" customWidth="1"/>
    <col min="7" max="7" width="12.7109375" bestFit="1" customWidth="1"/>
    <col min="8" max="8" width="13.42578125" bestFit="1" customWidth="1"/>
    <col min="9" max="26" width="25.7109375" customWidth="1"/>
  </cols>
  <sheetData>
    <row r="1" spans="1:2" ht="51" customHeight="1" x14ac:dyDescent="0.25"/>
    <row r="2" spans="1:2" x14ac:dyDescent="0.25"/>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DuomenuTvarkymas">
                <anchor moveWithCells="1" sizeWithCells="1">
                  <from>
                    <xdr:col>0</xdr:col>
                    <xdr:colOff>19050</xdr:colOff>
                    <xdr:row>0</xdr:row>
                    <xdr:rowOff>9525</xdr:rowOff>
                  </from>
                  <to>
                    <xdr:col>0</xdr:col>
                    <xdr:colOff>1076325</xdr:colOff>
                    <xdr:row>0</xdr:row>
                    <xdr:rowOff>571500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Paste value pagr (2)</vt:lpstr>
      <vt:lpstr>KODU_GRUPAVIMAS</vt:lpstr>
      <vt:lpstr>APSKAITA</vt:lpstr>
      <vt:lpstr>Paste value pagr</vt:lpstr>
      <vt:lpstr>KODU_GRUPAVIMAS!Print_Area</vt:lpstr>
      <vt:lpstr>APSKAITA!Print_Titles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2020-01-01T15:10:05Z</dcterms:modified>
</cp:coreProperties>
</file>