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Šios_darbaknygės" defaultThemeVersion="153222"/>
  <mc:AlternateContent xmlns:mc="http://schemas.openxmlformats.org/markup-compatibility/2006">
    <mc:Choice Requires="x15">
      <x15ac:absPath xmlns:x15ac="http://schemas.microsoft.com/office/spreadsheetml/2010/11/ac" url="C:\Users\User\Documents\DOKUMENTAI\Je-elkas\GitHub_TIC-elkas\makrosai is Nordico\naujausi 2017 10 12\"/>
    </mc:Choice>
  </mc:AlternateContent>
  <bookViews>
    <workbookView xWindow="0" yWindow="0" windowWidth="20490" windowHeight="6780" tabRatio="732"/>
  </bookViews>
  <sheets>
    <sheet name="UPV" sheetId="21" r:id="rId1"/>
  </sheets>
  <definedNames>
    <definedName name="DuomenųFiltras_Print1">#N/A</definedName>
    <definedName name="_xlnm.Print_Area" localSheetId="0">UPV[[#All],[PAKROVIMAS]:[GAMYBA]]</definedName>
    <definedName name="_xlnm.Print_Titles" localSheetId="0">UPV!$2:$2</definedName>
    <definedName name="Slicer_Nespausdinti">#N/A</definedName>
    <definedName name="Slicer_Spausdinti_70">#N/A</definedName>
  </definedNames>
  <calcPr calcId="162913"/>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
        <x14:slicerCache r:id="rId3"/>
        <x14:slicerCache r:id="rId4"/>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4" i="21" l="1"/>
  <c r="U4" i="21"/>
  <c r="W4" i="21"/>
  <c r="T3" i="21" l="1"/>
  <c r="T8" i="21"/>
  <c r="U3" i="21"/>
  <c r="U8" i="21"/>
  <c r="W3" i="21"/>
  <c r="W8" i="21"/>
  <c r="T1" i="21" l="1"/>
  <c r="AD2" i="21"/>
  <c r="Z2" i="21"/>
  <c r="W6" i="21"/>
  <c r="W5" i="21"/>
  <c r="W7" i="21"/>
  <c r="U6" i="21" l="1"/>
  <c r="U5" i="21"/>
  <c r="U7" i="21"/>
  <c r="V7" i="21" l="1"/>
  <c r="V8" i="21"/>
  <c r="V6" i="21"/>
  <c r="V4" i="21"/>
  <c r="V5" i="21"/>
  <c r="U1" i="21" l="1"/>
  <c r="V3" i="21" l="1"/>
  <c r="O1" i="21"/>
  <c r="M1" i="21" l="1"/>
  <c r="T5" i="21" l="1"/>
  <c r="T7" i="21" l="1"/>
  <c r="T6" i="21"/>
</calcChain>
</file>

<file path=xl/comments1.xml><?xml version="1.0" encoding="utf-8"?>
<comments xmlns="http://schemas.openxmlformats.org/spreadsheetml/2006/main">
  <authors>
    <author>mariuslitv</author>
  </authors>
  <commentList>
    <comment ref="A1" authorId="0" shapeId="0">
      <text>
        <r>
          <rPr>
            <b/>
            <sz val="9"/>
            <color indexed="81"/>
            <rFont val="Tahoma"/>
            <family val="2"/>
            <charset val="186"/>
          </rPr>
          <t xml:space="preserve">mariuslitv:
</t>
        </r>
        <r>
          <rPr>
            <sz val="9"/>
            <color indexed="81"/>
            <rFont val="Tahoma"/>
            <family val="2"/>
            <charset val="186"/>
          </rPr>
          <t xml:space="preserve">
Mano duomenų bazė kas mano o kas atnaujinama
PAKROVIMAS PROJEKTAS KLIENTAS REISAS
--------------------------
Nesikeičiantys duomenys
NUMERIS (Deliveris) - ID
UŽSAKYMAS 
GAMYBA 
--------------------------
KINTANTYS DUOMENYS
PAKROVIMAS Data
STATUSAS
REISAS
</t>
        </r>
      </text>
    </comment>
    <comment ref="O1" authorId="0" shapeId="0">
      <text>
        <r>
          <rPr>
            <b/>
            <sz val="9"/>
            <color indexed="81"/>
            <rFont val="Tahoma"/>
            <family val="2"/>
            <charset val="186"/>
          </rPr>
          <t>mariuslitv:</t>
        </r>
        <r>
          <rPr>
            <sz val="9"/>
            <color indexed="81"/>
            <rFont val="Tahoma"/>
            <family val="2"/>
            <charset val="186"/>
          </rPr>
          <t xml:space="preserve">
Normalus eil. Skaičius 70</t>
        </r>
      </text>
    </comment>
  </commentList>
</comments>
</file>

<file path=xl/sharedStrings.xml><?xml version="1.0" encoding="utf-8"?>
<sst xmlns="http://schemas.openxmlformats.org/spreadsheetml/2006/main" count="115" uniqueCount="51">
  <si>
    <t>PLANUOJAMA</t>
  </si>
  <si>
    <t>ATŠAUKTA</t>
  </si>
  <si>
    <t>NUMERIS</t>
  </si>
  <si>
    <t>PAKROVIMAS</t>
  </si>
  <si>
    <t>PROJEKTAS</t>
  </si>
  <si>
    <t>KLIENTAS</t>
  </si>
  <si>
    <t>STATUSAS</t>
  </si>
  <si>
    <t>GAMYBA</t>
  </si>
  <si>
    <t/>
  </si>
  <si>
    <t>Print</t>
  </si>
  <si>
    <t>Aprašas</t>
  </si>
  <si>
    <t>Savaitė</t>
  </si>
  <si>
    <t>Sav.dien.</t>
  </si>
  <si>
    <t>Šiandien</t>
  </si>
  <si>
    <t>IV</t>
  </si>
  <si>
    <t>V</t>
  </si>
  <si>
    <t>III</t>
  </si>
  <si>
    <t>Dublikatai</t>
  </si>
  <si>
    <t>Row</t>
  </si>
  <si>
    <t>PirmojiEilutė</t>
  </si>
  <si>
    <t>Projektas_</t>
  </si>
  <si>
    <t>VII</t>
  </si>
  <si>
    <t>LLCardiff Liberty bridge</t>
  </si>
  <si>
    <t>Reisas</t>
  </si>
  <si>
    <t>SO</t>
  </si>
  <si>
    <t>Aprašas_</t>
  </si>
  <si>
    <t>SO1701041-DEL-04</t>
  </si>
  <si>
    <t>Gam.Plan.</t>
  </si>
  <si>
    <t>-</t>
  </si>
  <si>
    <t>DESKTOP</t>
  </si>
  <si>
    <t>=</t>
  </si>
  <si>
    <t xml:space="preserve">Create </t>
  </si>
  <si>
    <t>Dinaminis spausdinimas</t>
  </si>
  <si>
    <t>Spausdinti_75</t>
  </si>
  <si>
    <t>Data1 nuo</t>
  </si>
  <si>
    <t>Data1 iki</t>
  </si>
  <si>
    <t>Data2 nuo</t>
  </si>
  <si>
    <t>Data2 iki</t>
  </si>
  <si>
    <t xml:space="preserve">     </t>
  </si>
  <si>
    <t>Nespausdinti</t>
  </si>
  <si>
    <t>Meblomaster</t>
  </si>
  <si>
    <t>Mebloma</t>
  </si>
  <si>
    <t>A</t>
  </si>
  <si>
    <t xml:space="preserve">  </t>
  </si>
  <si>
    <t>SO1707031-DEL-33</t>
  </si>
  <si>
    <t>SO1707031-DEL-34</t>
  </si>
  <si>
    <t>SO1707031-DEL-32</t>
  </si>
  <si>
    <t>SO1707031-DEL-31</t>
  </si>
  <si>
    <t>SO1707031-DEL-30</t>
  </si>
  <si>
    <t>SO1709036-MO-01</t>
  </si>
  <si>
    <t>fasad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</si>
</sst>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charset val="186"/>
      <scheme val="minor"/>
    </font>
    <font>
      <sz val="9"/>
      <color indexed="81"/>
      <name val="Tahoma"/>
      <family val="2"/>
      <charset val="186"/>
    </font>
    <font>
      <b/>
      <sz val="9"/>
      <color indexed="81"/>
      <name val="Tahoma"/>
      <family val="2"/>
      <charset val="186"/>
    </font>
    <font>
      <sz val="11"/>
      <color rgb="FF000000"/>
      <name val="Calibri"/>
      <family val="2"/>
      <charset val="186"/>
    </font>
    <font>
      <sz val="11"/>
      <color theme="1"/>
      <name val="Calibri"/>
      <family val="2"/>
      <scheme val="minor"/>
    </font>
    <font>
      <b/>
      <sz val="11"/>
      <color rgb="FF0000FF"/>
      <name val="Calibri"/>
      <family val="2"/>
      <charset val="186"/>
    </font>
  </fonts>
  <fills count="2">
    <fill>
      <patternFill patternType="none"/>
    </fill>
    <fill>
      <patternFill patternType="gray125"/>
    </fill>
  </fills>
  <borders count="1">
    <border>
      <left/>
      <right/>
      <top/>
      <bottom/>
      <diagonal/>
    </border>
  </borders>
  <cellStyleXfs count="2">
    <xf numFmtId="0" fontId="0" fillId="0" borderId="0"/>
    <xf numFmtId="0" fontId="4" fillId="0" borderId="0"/>
  </cellStyleXfs>
  <cellXfs count="1">
    <xf numFmtId="0" fontId="0" fillId="0" borderId="0" xfId="0"/>
  </cellXfs>
  <cellStyles count="2">
    <cellStyle name="Normal" xfId="0" builtinId="0"/>
    <cellStyle name="Normal 2" xfId="1"/>
  </cellStyles>
  <dxfs count="20">
    <dxf>
      <font>
        <b val="0"/>
        <i val="0"/>
        <strike val="0"/>
        <condense val="0"/>
        <extend val="0"/>
        <outline val="0"/>
        <shadow val="0"/>
        <u val="none"/>
        <vertAlign val="baseline"/>
        <sz val="8"/>
        <color theme="1"/>
        <name val="Calibri"/>
        <scheme val="minor"/>
      </font>
      <fill>
        <patternFill patternType="solid">
          <fgColor indexed="64"/>
          <bgColor indexed="22"/>
        </patternFill>
      </fill>
      <alignment horizontal="left" vertical="center" textRotation="0" wrapText="0" indent="0" justifyLastLine="0" shrinkToFit="0" readingOrder="0"/>
    </dxf>
    <dxf>
      <font>
        <b val="0"/>
        <i val="0"/>
        <strike val="0"/>
        <condense val="0"/>
        <extend val="0"/>
        <outline val="0"/>
        <shadow val="0"/>
        <u val="none"/>
        <vertAlign val="baseline"/>
        <sz val="8"/>
        <color theme="1"/>
        <name val="Calibri"/>
        <scheme val="minor"/>
      </font>
      <fill>
        <patternFill patternType="solid">
          <fgColor indexed="64"/>
          <bgColor indexed="22"/>
        </patternFill>
      </fill>
      <alignment horizontal="left" vertical="center" textRotation="0" wrapText="0" indent="0" justifyLastLine="0" shrinkToFit="0" readingOrder="0"/>
    </dxf>
    <dxf>
      <font>
        <b val="0"/>
        <i val="0"/>
        <strike val="0"/>
        <condense val="0"/>
        <extend val="0"/>
        <outline val="0"/>
        <shadow val="0"/>
        <u val="none"/>
        <vertAlign val="baseline"/>
        <sz val="8"/>
        <color theme="1"/>
        <name val="Calibri"/>
        <scheme val="minor"/>
      </font>
      <fill>
        <patternFill patternType="solid">
          <fgColor indexed="64"/>
          <bgColor indexed="22"/>
        </patternFill>
      </fill>
      <alignment horizontal="left" vertical="center" textRotation="0" wrapText="0" indent="0" justifyLastLine="0" shrinkToFit="0" readingOrder="0"/>
    </dxf>
    <dxf>
      <font>
        <b val="0"/>
        <i val="0"/>
        <strike val="0"/>
        <condense val="0"/>
        <extend val="0"/>
        <outline val="0"/>
        <shadow val="0"/>
        <u val="none"/>
        <vertAlign val="baseline"/>
        <sz val="8"/>
        <color theme="1"/>
        <name val="Calibri"/>
        <scheme val="minor"/>
      </font>
      <fill>
        <patternFill patternType="solid">
          <fgColor indexed="64"/>
          <bgColor indexed="22"/>
        </patternFill>
      </fill>
      <alignment horizontal="left" vertical="center" textRotation="0" wrapText="0" indent="0" justifyLastLine="0" shrinkToFit="0" readingOrder="0"/>
    </dxf>
    <dxf>
      <font>
        <b val="0"/>
        <i val="0"/>
        <strike val="0"/>
        <condense val="0"/>
        <extend val="0"/>
        <outline val="0"/>
        <shadow val="0"/>
        <u val="none"/>
        <vertAlign val="baseline"/>
        <sz val="8"/>
        <color theme="1"/>
        <name val="Calibri"/>
        <scheme val="minor"/>
      </font>
      <fill>
        <patternFill patternType="solid">
          <fgColor indexed="64"/>
          <bgColor indexed="22"/>
        </patternFill>
      </fill>
      <alignment horizontal="left" vertical="center" textRotation="0" wrapText="0" indent="0" justifyLastLine="0" shrinkToFit="0" readingOrder="0"/>
    </dxf>
    <dxf>
      <font>
        <b val="0"/>
        <i val="0"/>
        <strike val="0"/>
        <condense val="0"/>
        <extend val="0"/>
        <outline val="0"/>
        <shadow val="0"/>
        <u val="none"/>
        <vertAlign val="baseline"/>
        <sz val="8"/>
        <color theme="1"/>
        <name val="Calibri"/>
        <scheme val="minor"/>
      </font>
      <fill>
        <patternFill patternType="solid">
          <fgColor indexed="64"/>
          <bgColor indexed="22"/>
        </patternFill>
      </fill>
      <alignment horizontal="left" vertical="center" textRotation="0" wrapText="0" indent="0" justifyLastLine="0" shrinkToFit="0" readingOrder="0"/>
    </dxf>
    <dxf>
      <font>
        <b val="0"/>
        <i val="0"/>
        <strike val="0"/>
        <condense val="0"/>
        <extend val="0"/>
        <outline val="0"/>
        <shadow val="0"/>
        <u val="none"/>
        <vertAlign val="baseline"/>
        <sz val="8"/>
        <color theme="1"/>
        <name val="Calibri"/>
        <scheme val="minor"/>
      </font>
      <fill>
        <patternFill patternType="solid">
          <fgColor indexed="64"/>
          <bgColor indexed="22"/>
        </patternFill>
      </fill>
      <alignment horizontal="left" vertical="center" textRotation="0" wrapText="0" indent="0" justifyLastLine="0" shrinkToFit="0" readingOrder="0"/>
    </dxf>
    <dxf>
      <font>
        <b val="0"/>
        <i val="0"/>
        <strike val="0"/>
        <condense val="0"/>
        <extend val="0"/>
        <outline val="0"/>
        <shadow val="0"/>
        <u val="none"/>
        <vertAlign val="baseline"/>
        <sz val="8"/>
        <color theme="1"/>
        <name val="Calibri"/>
        <scheme val="minor"/>
      </font>
      <fill>
        <patternFill patternType="solid">
          <fgColor indexed="64"/>
          <bgColor indexed="22"/>
        </patternFill>
      </fill>
      <alignment horizontal="left" vertical="center" textRotation="0" wrapText="0" indent="0" justifyLastLine="0" shrinkToFit="0" readingOrder="0"/>
    </dxf>
    <dxf>
      <font>
        <b val="0"/>
        <i val="0"/>
        <strike val="0"/>
        <condense val="0"/>
        <extend val="0"/>
        <outline val="0"/>
        <shadow val="0"/>
        <u val="none"/>
        <vertAlign val="baseline"/>
        <sz val="8"/>
        <color theme="1"/>
        <name val="Calibri"/>
        <scheme val="minor"/>
      </font>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8"/>
        <color theme="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8"/>
        <color theme="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auto="1"/>
        </left>
        <right/>
        <top/>
        <bottom/>
      </border>
    </dxf>
    <dxf>
      <font>
        <b val="0"/>
        <i val="0"/>
        <strike val="0"/>
        <condense val="0"/>
        <extend val="0"/>
        <outline val="0"/>
        <shadow val="0"/>
        <u val="none"/>
        <vertAlign val="baseline"/>
        <sz val="8"/>
        <color theme="1"/>
        <name val="Calibri"/>
        <scheme val="minor"/>
      </font>
      <alignment horizontal="left" vertical="center"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alignment horizontal="left" vertical="center" textRotation="0" wrapText="0" indent="0" justifyLastLine="0" shrinkToFit="0" readingOrder="0"/>
    </dxf>
  </dxfs>
  <tableStyles count="0" defaultTableStyle="TableStyleMedium2" defaultPivotStyle="PivotStyleLight16"/>
  <colors>
    <mruColors>
      <color rgb="FF00FF00"/>
      <color rgb="FF009999"/>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microsoft.com/office/2007/relationships/slicerCache" Target="slicerCaches/slicerCache2.xml"/><Relationship Id="rId7" Type="http://schemas.openxmlformats.org/officeDocument/2006/relationships/sharedStrings" Target="sharedStrings.xml"/><Relationship Id="rId2"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3.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V$1" max="30000" page="10" val="136"/>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absoluteAnchor>
    <xdr:pos x="0" y="0"/>
    <xdr:ext cx="960783" cy="1000124"/>
    <mc:AlternateContent xmlns:mc="http://schemas.openxmlformats.org/markup-compatibility/2006" xmlns:sle15="http://schemas.microsoft.com/office/drawing/2012/slicer">
      <mc:Choice Requires="sle15">
        <xdr:graphicFrame macro="">
          <xdr:nvGraphicFramePr>
            <xdr:cNvPr id="2" name="Print 2">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Print 2"/>
            </a:graphicData>
          </a:graphic>
        </xdr:graphicFrame>
      </mc:Choice>
      <mc:Fallback xmlns="">
        <xdr:sp macro="" textlink="">
          <xdr:nvSpPr>
            <xdr:cNvPr id="0" name=""/>
            <xdr:cNvSpPr>
              <a:spLocks noTextEdit="1"/>
            </xdr:cNvSpPr>
          </xdr:nvSpPr>
          <xdr:spPr>
            <a:xfrm>
              <a:off x="0" y="0"/>
              <a:ext cx="1409700" cy="1000124"/>
            </a:xfrm>
            <a:prstGeom prst="rect">
              <a:avLst/>
            </a:prstGeom>
            <a:solidFill>
              <a:prstClr val="white"/>
            </a:solidFill>
            <a:ln w="1">
              <a:solidFill>
                <a:prstClr val="green"/>
              </a:solidFill>
            </a:ln>
          </xdr:spPr>
          <xdr:txBody>
            <a:bodyPr vertOverflow="clip" horzOverflow="clip"/>
            <a:lstStyle/>
            <a:p>
              <a:r>
                <a:rPr lang="lt-LT"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absoluteAnchor>
  <mc:AlternateContent xmlns:mc="http://schemas.openxmlformats.org/markup-compatibility/2006">
    <mc:Choice xmlns:a14="http://schemas.microsoft.com/office/drawing/2010/main" Requires="a14">
      <xdr:twoCellAnchor>
        <xdr:from>
          <xdr:col>2</xdr:col>
          <xdr:colOff>466725</xdr:colOff>
          <xdr:row>0</xdr:row>
          <xdr:rowOff>0</xdr:rowOff>
        </xdr:from>
        <xdr:to>
          <xdr:col>5</xdr:col>
          <xdr:colOff>371475</xdr:colOff>
          <xdr:row>0</xdr:row>
          <xdr:rowOff>942975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9C6F4DBB-A3AE-437A-A5C6-B4C8DB928FF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Patvirtinti proj. pakeitimus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1304925</xdr:colOff>
          <xdr:row>0</xdr:row>
          <xdr:rowOff>0</xdr:rowOff>
        </xdr:from>
        <xdr:to>
          <xdr:col>2</xdr:col>
          <xdr:colOff>400050</xdr:colOff>
          <xdr:row>0</xdr:row>
          <xdr:rowOff>942975</xdr:rowOff>
        </xdr:to>
        <xdr:sp macro="" textlink="">
          <xdr:nvSpPr>
            <xdr:cNvPr id="21507" name="Button 3" hidden="1">
              <a:extLst>
                <a:ext uri="{63B3BB69-23CF-44E3-9099-C40C66FF867C}">
                  <a14:compatExt spid="_x0000_s215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1" i="0" u="none" strike="noStrike" baseline="0">
                  <a:solidFill>
                    <a:srgbClr val="0000FF"/>
                  </a:solidFill>
                  <a:latin typeface="Calibri"/>
                  <a:cs typeface="Calibri"/>
                </a:rPr>
                <a:t>Atnaujinti</a:t>
              </a:r>
            </a:p>
          </xdr:txBody>
        </xdr:sp>
        <xdr:clientData fPrintsWithSheet="0"/>
      </xdr:twoCellAnchor>
    </mc:Choice>
    <mc:Fallback/>
  </mc:AlternateContent>
  <xdr:twoCellAnchor editAs="absolute">
    <xdr:from>
      <xdr:col>15</xdr:col>
      <xdr:colOff>365896</xdr:colOff>
      <xdr:row>0</xdr:row>
      <xdr:rowOff>0</xdr:rowOff>
    </xdr:from>
    <xdr:to>
      <xdr:col>18</xdr:col>
      <xdr:colOff>371255</xdr:colOff>
      <xdr:row>1</xdr:row>
      <xdr:rowOff>0</xdr:rowOff>
    </xdr:to>
    <mc:AlternateContent xmlns:mc="http://schemas.openxmlformats.org/markup-compatibility/2006" xmlns:sle15="http://schemas.microsoft.com/office/drawing/2012/slicer">
      <mc:Choice Requires="sle15">
        <xdr:graphicFrame macro="">
          <xdr:nvGraphicFramePr>
            <xdr:cNvPr id="3" name="Spausdinti_70"/>
            <xdr:cNvGraphicFramePr/>
          </xdr:nvGraphicFramePr>
          <xdr:xfrm>
            <a:off x="0" y="0"/>
            <a:ext cx="0" cy="0"/>
          </xdr:xfrm>
          <a:graphic>
            <a:graphicData uri="http://schemas.microsoft.com/office/drawing/2010/slicer">
              <sle:slicer xmlns:sle="http://schemas.microsoft.com/office/drawing/2010/slicer" name="Spausdinti_70"/>
            </a:graphicData>
          </a:graphic>
        </xdr:graphicFrame>
      </mc:Choice>
      <mc:Fallback xmlns="">
        <xdr:sp macro="" textlink="">
          <xdr:nvSpPr>
            <xdr:cNvPr id="0" name=""/>
            <xdr:cNvSpPr>
              <a:spLocks noTextEdit="1"/>
            </xdr:cNvSpPr>
          </xdr:nvSpPr>
          <xdr:spPr>
            <a:xfrm>
              <a:off x="9756913" y="0"/>
              <a:ext cx="1441174" cy="1002196"/>
            </a:xfrm>
            <a:prstGeom prst="rect">
              <a:avLst/>
            </a:prstGeom>
            <a:solidFill>
              <a:prstClr val="white"/>
            </a:solidFill>
            <a:ln w="1">
              <a:solidFill>
                <a:prstClr val="green"/>
              </a:solidFill>
            </a:ln>
          </xdr:spPr>
          <xdr:txBody>
            <a:bodyPr vertOverflow="clip" horzOverflow="clip"/>
            <a:lstStyle/>
            <a:p>
              <a:r>
                <a:rPr lang="lt-LT"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absoluteAnchor>
    <xdr:pos x="3362739" y="0"/>
    <xdr:ext cx="1068457" cy="877957"/>
    <xdr:pic macro="[0]!JumpToActualRange">
      <xdr:nvPicPr>
        <xdr:cNvPr id="6" name="Picture 5">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
        <a:stretch>
          <a:fillRect/>
        </a:stretch>
      </xdr:blipFill>
      <xdr:spPr>
        <a:xfrm>
          <a:off x="3362739" y="0"/>
          <a:ext cx="1068457" cy="877957"/>
        </a:xfrm>
        <a:prstGeom prst="rect">
          <a:avLst/>
        </a:prstGeom>
        <a:ln w="22225" cmpd="sng">
          <a:solidFill>
            <a:schemeClr val="tx1"/>
          </a:solidFill>
        </a:ln>
      </xdr:spPr>
    </xdr:pic>
    <xdr:clientData/>
  </xdr:absoluteAnchor>
  <xdr:twoCellAnchor editAs="absolute">
    <xdr:from>
      <xdr:col>7</xdr:col>
      <xdr:colOff>265044</xdr:colOff>
      <xdr:row>0</xdr:row>
      <xdr:rowOff>0</xdr:rowOff>
    </xdr:from>
    <xdr:to>
      <xdr:col>7</xdr:col>
      <xdr:colOff>1606827</xdr:colOff>
      <xdr:row>0</xdr:row>
      <xdr:rowOff>952500</xdr:rowOff>
    </xdr:to>
    <mc:AlternateContent xmlns:mc="http://schemas.openxmlformats.org/markup-compatibility/2006" xmlns:sle15="http://schemas.microsoft.com/office/drawing/2012/slicer">
      <mc:Choice Requires="sle15">
        <xdr:graphicFrame macro="">
          <xdr:nvGraphicFramePr>
            <xdr:cNvPr id="4" name="Nespausdinti"/>
            <xdr:cNvGraphicFramePr/>
          </xdr:nvGraphicFramePr>
          <xdr:xfrm>
            <a:off x="0" y="0"/>
            <a:ext cx="0" cy="0"/>
          </xdr:xfrm>
          <a:graphic>
            <a:graphicData uri="http://schemas.microsoft.com/office/drawing/2010/slicer">
              <sle:slicer xmlns:sle="http://schemas.microsoft.com/office/drawing/2010/slicer" name="Nespausdinti"/>
            </a:graphicData>
          </a:graphic>
        </xdr:graphicFrame>
      </mc:Choice>
      <mc:Fallback xmlns="">
        <xdr:sp macro="" textlink="">
          <xdr:nvSpPr>
            <xdr:cNvPr id="0" name=""/>
            <xdr:cNvSpPr>
              <a:spLocks noTextEdit="1"/>
            </xdr:cNvSpPr>
          </xdr:nvSpPr>
          <xdr:spPr>
            <a:xfrm>
              <a:off x="4580283" y="0"/>
              <a:ext cx="1341783" cy="952500"/>
            </a:xfrm>
            <a:prstGeom prst="rect">
              <a:avLst/>
            </a:prstGeom>
            <a:solidFill>
              <a:prstClr val="white"/>
            </a:solidFill>
            <a:ln w="1">
              <a:solidFill>
                <a:prstClr val="green"/>
              </a:solidFill>
            </a:ln>
          </xdr:spPr>
          <xdr:txBody>
            <a:bodyPr vertOverflow="clip" horzOverflow="clip"/>
            <a:lstStyle/>
            <a:p>
              <a:r>
                <a:rPr lang="lt-LT"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21</xdr:col>
          <xdr:colOff>361950</xdr:colOff>
          <xdr:row>0</xdr:row>
          <xdr:rowOff>0</xdr:rowOff>
        </xdr:from>
        <xdr:to>
          <xdr:col>22</xdr:col>
          <xdr:colOff>0</xdr:colOff>
          <xdr:row>1</xdr:row>
          <xdr:rowOff>0</xdr:rowOff>
        </xdr:to>
        <xdr:sp macro="" textlink="">
          <xdr:nvSpPr>
            <xdr:cNvPr id="21509" name="Spinner 5" hidden="1">
              <a:extLst>
                <a:ext uri="{63B3BB69-23CF-44E3-9099-C40C66FF867C}">
                  <a14:compatExt spid="_x0000_s2150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DuomenųFiltras_Print1" sourceName="Print">
  <extLst>
    <x:ext xmlns:x15="http://schemas.microsoft.com/office/spreadsheetml/2010/11/main" uri="{2F2917AC-EB37-4324-AD4E-5DD8C200BD13}">
      <x15:tableSlicerCache tableId="9" column="1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pausdinti_70" sourceName="Spausdinti_75">
  <extLst>
    <x:ext xmlns:x15="http://schemas.microsoft.com/office/spreadsheetml/2010/11/main" uri="{2F2917AC-EB37-4324-AD4E-5DD8C200BD13}">
      <x15:tableSlicerCache tableId="9" column="2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espausdinti" sourceName="Nespausdinti">
  <extLst>
    <x:ext xmlns:x15="http://schemas.microsoft.com/office/spreadsheetml/2010/11/main" uri="{2F2917AC-EB37-4324-AD4E-5DD8C200BD13}">
      <x15:tableSlicerCache tableId="9" column="22"/>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int 2" cache="DuomenųFiltras_Print1" caption="Stulpelis1" rowHeight="252000"/>
  <slicer name="Spausdinti_70" cache="Slicer_Spausdinti_70" caption="Spausdinti_75" rowHeight="252000"/>
  <slicer name="Nespausdinti" cache="Slicer_Nespausdinti" caption="Nespausdinti" rowHeight="241300"/>
</slicers>
</file>

<file path=xl/tables/table1.xml><?xml version="1.0" encoding="utf-8"?>
<table xmlns="http://schemas.openxmlformats.org/spreadsheetml/2006/main" id="9" name="UPV" displayName="UPV" ref="A2:W8">
  <autoFilter ref="A2:W8"/>
  <tableColumns count="23">
    <tableColumn id="16" name="Projektas_" totalsRowLabel="Total" totalsRowDxfId="19"/>
    <tableColumn id="1" name="Savaitė" totalsRowDxfId="18"/>
    <tableColumn id="10" name="PAKROVIMAS"/>
    <tableColumn id="5" name="Sav.dien." totalsRowDxfId="17"/>
    <tableColumn id="3" name="Šiandien"/>
    <tableColumn id="2" name="NUMERIS" totalsRowDxfId="16"/>
    <tableColumn id="18" name="Gam.Plan."/>
    <tableColumn id="4" name="Aprašas" totalsRowDxfId="15"/>
    <tableColumn id="9" name="KLIENTAS" totalsRowDxfId="14"/>
    <tableColumn id="15" name="PROJEKTAS" totalsRowDxfId="13"/>
    <tableColumn id="13" name="STATUSAS" totalsRowDxfId="12"/>
    <tableColumn id="11" name="Reisas" totalsRowDxfId="11"/>
    <tableColumn id="19" name="GAMYBA" totalsRowDxfId="10"/>
    <tableColumn id="23" name="A" totalsRowDxfId="9"/>
    <tableColumn id="14" name="Print" totalsRowDxfId="8"/>
    <tableColumn id="6" name="Dublikatai" totalsRowDxfId="7"/>
    <tableColumn id="7" name="PirmojiEilutė" totalsRowDxfId="6"/>
    <tableColumn id="8" name="Row" totalsRowDxfId="5"/>
    <tableColumn id="12" name="SO" totalsRowDxfId="4"/>
    <tableColumn id="17" name="Aprašas_" totalsRowFunction="count" totalsRowDxfId="3">
      <calculatedColumnFormula>UPV[[#This Row],[Aprašas]]</calculatedColumnFormula>
    </tableColumn>
    <tableColumn id="20" name="Dinaminis spausdinimas" totalsRowDxfId="2">
      <calculatedColumnFormula>IF(UPV[[#This Row],[PAKROVIMAS]]&gt;=TODAY(),1,"")</calculatedColumnFormula>
    </tableColumn>
    <tableColumn id="21" name="Spausdinti_75" totalsRowDxfId="1">
      <calculatedColumnFormula>IF(OR(UPV[[#This Row],[Dinaminis spausdinimas]]=0,SUM($U3:$U$8)&gt;$V$1),"",IF(UPV[[#This Row],[Print]]="Print","Spausdinti "&amp;$V$1,""))</calculatedColumnFormula>
    </tableColumn>
    <tableColumn id="22" name="Nespausdinti" totalsRowDxfId="0">
      <calculatedColumnFormula>IF(UPV[[#This Row],[PAKROVIMAS]]&lt;TODAY(),"","Nesp.Išvežta")</calculatedColumnFormula>
    </tableColumn>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s://nordic.bsource.eu/view/4153243" TargetMode="External"/><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omments" Target="../comments1.xml"/><Relationship Id="rId4" Type="http://schemas.openxmlformats.org/officeDocument/2006/relationships/vmlDrawing" Target="../drawings/vmlDrawing1.vml"/><Relationship Id="rId9"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apas2">
    <tabColor rgb="FFFF0000"/>
    <pageSetUpPr fitToPage="1"/>
  </sheetPr>
  <dimension ref="A1:AD8"/>
  <sheetViews>
    <sheetView tabSelected="1" zoomScaleNormal="100" zoomScaleSheetLayoutView="100" workbookViewId="0">
      <pane ySplit="2" topLeftCell="A3" activePane="bottomLeft" state="frozen"/>
      <selection pane="bottomLeft" activeCell="A9" sqref="A9"/>
    </sheetView>
  </sheetViews>
  <sheetFormatPr defaultRowHeight="15" x14ac:dyDescent="0.25"/>
  <cols>
    <col min="1" max="1" width="21.28515625" customWidth="1"/>
    <col min="2" max="2" width="5" customWidth="1"/>
    <col min="3" max="3" width="9" customWidth="1"/>
    <col min="4" max="4" width="2.42578125" customWidth="1"/>
    <col min="5" max="5" width="5.7109375" customWidth="1"/>
    <col min="6" max="6" width="17" customWidth="1"/>
    <col min="7" max="7" width="4.28515625" customWidth="1"/>
    <col min="8" max="8" width="25" customWidth="1"/>
    <col min="9" max="9" width="5.28515625" customWidth="1"/>
    <col min="10" max="10" width="7" customWidth="1"/>
    <col min="11" max="11" width="6.140625" customWidth="1"/>
    <col min="12" max="12" width="3.140625" customWidth="1"/>
    <col min="13" max="13" width="14.140625" customWidth="1"/>
    <col min="14" max="14" width="5.5703125" bestFit="1" customWidth="1"/>
    <col min="15" max="15" width="9.85546875" customWidth="1"/>
    <col min="16" max="20" width="7.140625" customWidth="1"/>
    <col min="21" max="21" width="2" customWidth="1"/>
    <col min="22" max="22" width="13.7109375" bestFit="1" customWidth="1"/>
    <col min="23" max="23" width="9.42578125" bestFit="1" customWidth="1"/>
    <col min="24" max="24" width="9.85546875" bestFit="1" customWidth="1"/>
    <col min="25" max="25" width="3.85546875" customWidth="1"/>
    <col min="26" max="26" width="9.85546875" bestFit="1" customWidth="1"/>
    <col min="27" max="27" width="3.85546875" customWidth="1"/>
    <col min="28" max="28" width="9.85546875" bestFit="1" customWidth="1"/>
    <col min="29" max="29" width="3.85546875" customWidth="1"/>
    <col min="30" max="30" width="9.85546875" bestFit="1" customWidth="1"/>
  </cols>
  <sheetData>
    <row r="1" spans="1:30" ht="78.75" customHeight="1" x14ac:dyDescent="0.25">
      <c r="A1" t="s">
        <v>49</v>
      </c>
      <c r="I1" t="s">
        <v>50</v>
      </c>
      <c r="J1" t="s">
        <v>30</v>
      </c>
      <c r="M1">
        <f ca="1">TODAY()</f>
        <v>43831</v>
      </c>
      <c r="O1">
        <f>SUBTOTAL(103,UPV[Print])</f>
        <v>6</v>
      </c>
      <c r="P1" t="s">
        <v>29</v>
      </c>
      <c r="T1" t="e">
        <f>#REF!</f>
        <v>#REF!</v>
      </c>
      <c r="U1">
        <f>COUNTIF(UPV[Print],"Print")</f>
        <v>5</v>
      </c>
      <c r="V1">
        <v>136</v>
      </c>
      <c r="W1" t="s">
        <v>34</v>
      </c>
      <c r="X1">
        <v>42997</v>
      </c>
      <c r="Y1" t="s">
        <v>35</v>
      </c>
      <c r="Z1">
        <v>42998</v>
      </c>
      <c r="AA1" t="s">
        <v>36</v>
      </c>
      <c r="AB1">
        <v>43022</v>
      </c>
      <c r="AC1" t="s">
        <v>37</v>
      </c>
      <c r="AD1">
        <v>43025</v>
      </c>
    </row>
    <row r="2" spans="1:30" x14ac:dyDescent="0.25">
      <c r="A2" t="s">
        <v>20</v>
      </c>
      <c r="B2" t="s">
        <v>11</v>
      </c>
      <c r="C2" t="s">
        <v>3</v>
      </c>
      <c r="D2" t="s">
        <v>12</v>
      </c>
      <c r="E2" t="s">
        <v>13</v>
      </c>
      <c r="F2" t="s">
        <v>2</v>
      </c>
      <c r="G2" t="s">
        <v>27</v>
      </c>
      <c r="H2" t="s">
        <v>10</v>
      </c>
      <c r="I2" t="s">
        <v>5</v>
      </c>
      <c r="J2" t="s">
        <v>4</v>
      </c>
      <c r="K2" t="s">
        <v>6</v>
      </c>
      <c r="L2" t="s">
        <v>23</v>
      </c>
      <c r="M2" t="s">
        <v>7</v>
      </c>
      <c r="N2" t="s">
        <v>42</v>
      </c>
      <c r="O2" t="s">
        <v>9</v>
      </c>
      <c r="P2" t="s">
        <v>17</v>
      </c>
      <c r="Q2" t="s">
        <v>19</v>
      </c>
      <c r="R2" t="s">
        <v>18</v>
      </c>
      <c r="S2" t="s">
        <v>24</v>
      </c>
      <c r="T2" t="s">
        <v>25</v>
      </c>
      <c r="U2" t="s">
        <v>32</v>
      </c>
      <c r="V2" t="s">
        <v>33</v>
      </c>
      <c r="W2" t="s">
        <v>39</v>
      </c>
      <c r="Z2">
        <f ca="1">Z1-TODAY()</f>
        <v>-833</v>
      </c>
      <c r="AD2">
        <f ca="1">AD1-TODAY()</f>
        <v>-806</v>
      </c>
    </row>
    <row r="3" spans="1:30" x14ac:dyDescent="0.25">
      <c r="A3" t="s">
        <v>22</v>
      </c>
      <c r="B3">
        <v>52</v>
      </c>
      <c r="C3">
        <v>43100</v>
      </c>
      <c r="D3" t="s">
        <v>21</v>
      </c>
      <c r="E3" t="s">
        <v>8</v>
      </c>
      <c r="F3" t="s">
        <v>26</v>
      </c>
      <c r="G3" t="s">
        <v>38</v>
      </c>
      <c r="H3" t="s">
        <v>22</v>
      </c>
      <c r="I3" t="s">
        <v>31</v>
      </c>
      <c r="J3" t="s">
        <v>22</v>
      </c>
      <c r="K3" t="s">
        <v>1</v>
      </c>
      <c r="L3" t="s">
        <v>8</v>
      </c>
      <c r="M3" t="s">
        <v>28</v>
      </c>
      <c r="N3" t="s">
        <v>43</v>
      </c>
      <c r="O3" t="s">
        <v>8</v>
      </c>
      <c r="P3">
        <v>1</v>
      </c>
      <c r="Q3" t="s">
        <v>8</v>
      </c>
      <c r="R3">
        <v>18</v>
      </c>
      <c r="T3" t="str">
        <f>UPV[[#This Row],[Aprašas]]</f>
        <v>LLCardiff Liberty bridge</v>
      </c>
      <c r="U3" t="str">
        <f ca="1">IF(UPV[[#This Row],[PAKROVIMAS]]&gt;=TODAY(),1,"")</f>
        <v/>
      </c>
      <c r="V3" t="str">
        <f ca="1">IF(OR(UPV[[#This Row],[Dinaminis spausdinimas]]=0,SUM($U1:$U$8)&gt;$V$1),"",IF(UPV[[#This Row],[Print]]="Print","Spausdinti "&amp;$V$1,""))</f>
        <v/>
      </c>
      <c r="W3" t="str">
        <f ca="1">IF(UPV[[#This Row],[PAKROVIMAS]]&lt;TODAY(),"","Nesp.Išvežta")</f>
        <v/>
      </c>
    </row>
    <row r="4" spans="1:30" x14ac:dyDescent="0.25">
      <c r="A4" t="s">
        <v>40</v>
      </c>
      <c r="B4">
        <v>52</v>
      </c>
      <c r="C4">
        <v>43098</v>
      </c>
      <c r="D4" t="s">
        <v>15</v>
      </c>
      <c r="E4" t="s">
        <v>8</v>
      </c>
      <c r="F4" t="s">
        <v>45</v>
      </c>
      <c r="G4" t="s">
        <v>38</v>
      </c>
      <c r="H4" t="s">
        <v>40</v>
      </c>
      <c r="I4" t="s">
        <v>41</v>
      </c>
      <c r="J4" t="s">
        <v>40</v>
      </c>
      <c r="K4" t="s">
        <v>0</v>
      </c>
      <c r="L4" t="s">
        <v>8</v>
      </c>
      <c r="M4" t="s">
        <v>28</v>
      </c>
      <c r="N4" t="s">
        <v>43</v>
      </c>
      <c r="O4" t="s">
        <v>9</v>
      </c>
      <c r="P4">
        <v>1</v>
      </c>
      <c r="Q4" t="s">
        <v>8</v>
      </c>
      <c r="R4">
        <v>20</v>
      </c>
      <c r="T4" t="str">
        <f>UPV[[#This Row],[Aprašas]]</f>
        <v>Meblomaster</v>
      </c>
      <c r="U4" t="str">
        <f ca="1">IF(UPV[[#This Row],[PAKROVIMAS]]&gt;=TODAY(),1,"")</f>
        <v/>
      </c>
      <c r="V4" t="str">
        <f ca="1">IF(OR(UPV[[#This Row],[Dinaminis spausdinimas]]=0,SUM($U4:$U$8)&gt;$V$1),"",IF(UPV[[#This Row],[Print]]="Print","Spausdinti "&amp;$V$1,""))</f>
        <v>Spausdinti 136</v>
      </c>
      <c r="W4" t="str">
        <f ca="1">IF(UPV[[#This Row],[PAKROVIMAS]]&lt;TODAY(),"","Nesp.Išvežta")</f>
        <v/>
      </c>
    </row>
    <row r="5" spans="1:30" x14ac:dyDescent="0.25">
      <c r="A5" t="s">
        <v>40</v>
      </c>
      <c r="B5">
        <v>52</v>
      </c>
      <c r="C5">
        <v>43098</v>
      </c>
      <c r="D5" t="s">
        <v>15</v>
      </c>
      <c r="E5" t="s">
        <v>8</v>
      </c>
      <c r="F5" t="s">
        <v>44</v>
      </c>
      <c r="G5" t="s">
        <v>38</v>
      </c>
      <c r="H5" t="s">
        <v>40</v>
      </c>
      <c r="I5" t="s">
        <v>41</v>
      </c>
      <c r="J5" t="s">
        <v>40</v>
      </c>
      <c r="K5" t="s">
        <v>0</v>
      </c>
      <c r="L5" t="s">
        <v>8</v>
      </c>
      <c r="M5" t="s">
        <v>28</v>
      </c>
      <c r="N5" t="s">
        <v>43</v>
      </c>
      <c r="O5" t="s">
        <v>9</v>
      </c>
      <c r="P5">
        <v>1</v>
      </c>
      <c r="Q5" t="s">
        <v>8</v>
      </c>
      <c r="R5">
        <v>19</v>
      </c>
      <c r="S5">
        <v>170</v>
      </c>
      <c r="T5" t="str">
        <f>UPV[[#This Row],[Aprašas]]</f>
        <v>Meblomaster</v>
      </c>
      <c r="U5" t="str">
        <f ca="1">IF(UPV[[#This Row],[PAKROVIMAS]]&gt;=TODAY(),1,"")</f>
        <v/>
      </c>
      <c r="V5" t="str">
        <f ca="1">IF(OR(UPV[[#This Row],[Dinaminis spausdinimas]]=0,SUM($U5:$U$8)&gt;$V$1),"",IF(UPV[[#This Row],[Print]]="Print","Spausdinti "&amp;$V$1,""))</f>
        <v>Spausdinti 136</v>
      </c>
      <c r="W5" t="str">
        <f ca="1">IF(UPV[[#This Row],[PAKROVIMAS]]&lt;TODAY(),"","Nesp.Išvežta")</f>
        <v/>
      </c>
    </row>
    <row r="6" spans="1:30" x14ac:dyDescent="0.25">
      <c r="A6" t="s">
        <v>40</v>
      </c>
      <c r="B6">
        <v>52</v>
      </c>
      <c r="C6">
        <v>43097</v>
      </c>
      <c r="D6" t="s">
        <v>14</v>
      </c>
      <c r="E6" t="s">
        <v>8</v>
      </c>
      <c r="F6" t="s">
        <v>46</v>
      </c>
      <c r="G6" t="s">
        <v>38</v>
      </c>
      <c r="H6" t="s">
        <v>40</v>
      </c>
      <c r="I6" t="s">
        <v>41</v>
      </c>
      <c r="J6" t="s">
        <v>40</v>
      </c>
      <c r="K6" t="s">
        <v>0</v>
      </c>
      <c r="L6" t="s">
        <v>8</v>
      </c>
      <c r="M6" t="s">
        <v>28</v>
      </c>
      <c r="N6" t="s">
        <v>43</v>
      </c>
      <c r="O6" t="s">
        <v>9</v>
      </c>
      <c r="P6">
        <v>1</v>
      </c>
      <c r="Q6" t="s">
        <v>8</v>
      </c>
      <c r="R6">
        <v>21</v>
      </c>
      <c r="S6">
        <v>150</v>
      </c>
      <c r="T6" t="str">
        <f>UPV[[#This Row],[Aprašas]]</f>
        <v>Meblomaster</v>
      </c>
      <c r="U6" t="str">
        <f ca="1">IF(UPV[[#This Row],[PAKROVIMAS]]&gt;=TODAY(),1,"")</f>
        <v/>
      </c>
      <c r="V6" t="str">
        <f ca="1">IF(OR(UPV[[#This Row],[Dinaminis spausdinimas]]=0,SUM($U6:$U$8)&gt;$V$1),"",IF(UPV[[#This Row],[Print]]="Print","Spausdinti "&amp;$V$1,""))</f>
        <v>Spausdinti 136</v>
      </c>
      <c r="W6" t="str">
        <f ca="1">IF(UPV[[#This Row],[PAKROVIMAS]]&lt;TODAY(),"","Nesp.Išvežta")</f>
        <v/>
      </c>
    </row>
    <row r="7" spans="1:30" x14ac:dyDescent="0.25">
      <c r="A7" t="s">
        <v>40</v>
      </c>
      <c r="B7">
        <v>51</v>
      </c>
      <c r="C7">
        <v>43091</v>
      </c>
      <c r="D7" t="s">
        <v>15</v>
      </c>
      <c r="E7" t="s">
        <v>8</v>
      </c>
      <c r="F7" t="s">
        <v>47</v>
      </c>
      <c r="G7" t="s">
        <v>38</v>
      </c>
      <c r="H7" t="s">
        <v>40</v>
      </c>
      <c r="I7" t="s">
        <v>41</v>
      </c>
      <c r="J7" t="s">
        <v>40</v>
      </c>
      <c r="K7" t="s">
        <v>0</v>
      </c>
      <c r="L7" t="s">
        <v>8</v>
      </c>
      <c r="M7" t="s">
        <v>28</v>
      </c>
      <c r="N7" t="s">
        <v>43</v>
      </c>
      <c r="O7" t="s">
        <v>9</v>
      </c>
      <c r="P7">
        <v>1</v>
      </c>
      <c r="Q7" t="s">
        <v>8</v>
      </c>
      <c r="R7">
        <v>22</v>
      </c>
      <c r="S7">
        <v>47</v>
      </c>
      <c r="T7" t="str">
        <f>UPV[[#This Row],[Aprašas]]</f>
        <v>Meblomaster</v>
      </c>
      <c r="U7" t="str">
        <f ca="1">IF(UPV[[#This Row],[PAKROVIMAS]]&gt;=TODAY(),1,"")</f>
        <v/>
      </c>
      <c r="V7" t="str">
        <f ca="1">IF(OR(UPV[[#This Row],[Dinaminis spausdinimas]]=0,SUM($U7:$U$8)&gt;$V$1),"",IF(UPV[[#This Row],[Print]]="Print","Spausdinti "&amp;$V$1,""))</f>
        <v>Spausdinti 136</v>
      </c>
      <c r="W7" t="str">
        <f ca="1">IF(UPV[[#This Row],[PAKROVIMAS]]&lt;TODAY(),"","Nesp.Išvežta")</f>
        <v/>
      </c>
    </row>
    <row r="8" spans="1:30" x14ac:dyDescent="0.25">
      <c r="A8" t="s">
        <v>40</v>
      </c>
      <c r="B8">
        <v>51</v>
      </c>
      <c r="C8">
        <v>43089</v>
      </c>
      <c r="D8" t="s">
        <v>16</v>
      </c>
      <c r="E8" t="s">
        <v>8</v>
      </c>
      <c r="F8" t="s">
        <v>48</v>
      </c>
      <c r="G8" t="s">
        <v>38</v>
      </c>
      <c r="H8" t="s">
        <v>40</v>
      </c>
      <c r="I8" t="s">
        <v>41</v>
      </c>
      <c r="J8" t="s">
        <v>40</v>
      </c>
      <c r="K8" t="s">
        <v>0</v>
      </c>
      <c r="L8" t="s">
        <v>8</v>
      </c>
      <c r="M8" t="s">
        <v>28</v>
      </c>
      <c r="N8" t="s">
        <v>43</v>
      </c>
      <c r="O8" t="s">
        <v>9</v>
      </c>
      <c r="P8">
        <v>1</v>
      </c>
      <c r="Q8" t="s">
        <v>8</v>
      </c>
      <c r="R8">
        <v>23</v>
      </c>
      <c r="T8" t="str">
        <f>UPV[[#This Row],[Aprašas]]</f>
        <v>Meblomaster</v>
      </c>
      <c r="U8" t="str">
        <f ca="1">IF(UPV[[#This Row],[PAKROVIMAS]]&gt;=TODAY(),1,"")</f>
        <v/>
      </c>
      <c r="V8" t="str">
        <f ca="1">IF(OR(UPV[[#This Row],[Dinaminis spausdinimas]]=0,SUM($U8:$U$8)&gt;$V$1),"",IF(UPV[[#This Row],[Print]]="Print","Spausdinti "&amp;$V$1,""))</f>
        <v>Spausdinti 136</v>
      </c>
      <c r="W8" t="str">
        <f ca="1">IF(UPV[[#This Row],[PAKROVIMAS]]&lt;TODAY(),"","Nesp.Išvežta")</f>
        <v/>
      </c>
    </row>
  </sheetData>
  <hyperlinks>
    <hyperlink ref="A1" r:id="rId1" display="https://nordic.bsource.eu/view/4153243"/>
  </hyperlinks>
  <printOptions verticalCentered="1"/>
  <pageMargins left="0.23622047244094491" right="0.23622047244094491" top="0.39370078740157483" bottom="0.19685039370078741" header="0.15748031496062992" footer="0.19685039370078741"/>
  <pageSetup paperSize="9" scale="99" fitToHeight="0" orientation="portrait" r:id="rId2"/>
  <headerFooter>
    <oddHeader>&amp;L&amp;A&amp;CUŽSAKYMAI&amp;R&amp;D &amp;T</oddHeader>
    <oddFooter>&amp;R&amp;P/&amp;N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1506" r:id="rId5" name="Button 2">
              <controlPr defaultSize="0" print="0" autoFill="0" autoPict="0" macro="[0]!PatvirtintiProjekta">
                <anchor moveWithCells="1" sizeWithCells="1">
                  <from>
                    <xdr:col>2</xdr:col>
                    <xdr:colOff>466725</xdr:colOff>
                    <xdr:row>0</xdr:row>
                    <xdr:rowOff>0</xdr:rowOff>
                  </from>
                  <to>
                    <xdr:col>5</xdr:col>
                    <xdr:colOff>371475</xdr:colOff>
                    <xdr:row>0</xdr:row>
                    <xdr:rowOff>942975</xdr:rowOff>
                  </to>
                </anchor>
              </controlPr>
            </control>
          </mc:Choice>
        </mc:AlternateContent>
        <mc:AlternateContent xmlns:mc="http://schemas.openxmlformats.org/markup-compatibility/2006">
          <mc:Choice Requires="x14">
            <control shapeId="21507" r:id="rId6" name="Button 3">
              <controlPr defaultSize="0" print="0" autoFill="0" autoPict="0" macro="[0]!AtnaujintiDuomenis">
                <anchor moveWithCells="1" sizeWithCells="1">
                  <from>
                    <xdr:col>0</xdr:col>
                    <xdr:colOff>1304925</xdr:colOff>
                    <xdr:row>0</xdr:row>
                    <xdr:rowOff>0</xdr:rowOff>
                  </from>
                  <to>
                    <xdr:col>2</xdr:col>
                    <xdr:colOff>400050</xdr:colOff>
                    <xdr:row>0</xdr:row>
                    <xdr:rowOff>942975</xdr:rowOff>
                  </to>
                </anchor>
              </controlPr>
            </control>
          </mc:Choice>
        </mc:AlternateContent>
        <mc:AlternateContent xmlns:mc="http://schemas.openxmlformats.org/markup-compatibility/2006">
          <mc:Choice Requires="x14">
            <control shapeId="21509" r:id="rId7" name="Spinner 5">
              <controlPr defaultSize="0" autoPict="0">
                <anchor moveWithCells="1" sizeWithCells="1">
                  <from>
                    <xdr:col>21</xdr:col>
                    <xdr:colOff>361950</xdr:colOff>
                    <xdr:row>0</xdr:row>
                    <xdr:rowOff>0</xdr:rowOff>
                  </from>
                  <to>
                    <xdr:col>22</xdr:col>
                    <xdr:colOff>0</xdr:colOff>
                    <xdr:row>1</xdr:row>
                    <xdr:rowOff>0</xdr:rowOff>
                  </to>
                </anchor>
              </controlPr>
            </control>
          </mc:Choice>
        </mc:AlternateContent>
      </controls>
    </mc:Choice>
  </mc:AlternateContent>
  <tableParts count="1">
    <tablePart r:id="rId8"/>
  </tableParts>
  <extLst>
    <ext xmlns:x15="http://schemas.microsoft.com/office/spreadsheetml/2010/11/main" uri="{3A4CF648-6AED-40f4-86FF-DC5316D8AED3}">
      <x14:slicerList xmlns:x14="http://schemas.microsoft.com/office/spreadsheetml/2009/9/main">
        <x14:slicer r:id="rId9"/>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UPV</vt:lpstr>
      <vt:lpstr>UPV!Print_Area</vt:lpstr>
      <vt:lpstr>UPV!Print_Titles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mariuslitv</dc:creator>
  <cp:lastModifiedBy>User</cp:lastModifiedBy>
  <cp:lastPrinted>2017-10-03T07:46:59Z</cp:lastPrinted>
  <dcterms:created xsi:type="dcterms:W3CDTF">2016-11-22T09:11:31Z</dcterms:created>
  <dcterms:modified xsi:type="dcterms:W3CDTF">2020-01-01T15:13:33Z</dcterms:modified>
</cp:coreProperties>
</file>