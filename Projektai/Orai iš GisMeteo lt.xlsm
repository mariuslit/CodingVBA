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comments2.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tables/table2.xml" ContentType="application/vnd.openxmlformats-officedocument.spreadsheetml.table+xml"/>
  <Override PartName="/xl/slicers/slicer1.xml" ContentType="application/vnd.ms-excel.slicer+xml"/>
  <Override PartName="/xl/queryTables/queryTable1.xml" ContentType="application/vnd.openxmlformats-officedocument.spreadsheetml.query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528" codeName="{B1203076-2D4D-A25B-A398-973B695A806A}"/>
  <workbookPr codeName="Šios_darbaknygės" defaultThemeVersion="166925"/>
  <mc:AlternateContent xmlns:mc="http://schemas.openxmlformats.org/markup-compatibility/2006">
    <mc:Choice Requires="x15">
      <x15ac:absPath xmlns:x15ac="http://schemas.microsoft.com/office/spreadsheetml/2010/11/ac" url="C:\Users\mariu\Desktop\"/>
    </mc:Choice>
  </mc:AlternateContent>
  <bookViews>
    <workbookView xWindow="0" yWindow="0" windowWidth="21570" windowHeight="6750" xr2:uid="{00000000-000D-0000-FFFF-FFFF00000000}"/>
  </bookViews>
  <sheets>
    <sheet name="Orai 3 dienos" sheetId="8" r:id="rId1"/>
    <sheet name="Orai 2 sav." sheetId="13" r:id="rId2"/>
    <sheet name="3dien" sheetId="7" r:id="rId3"/>
    <sheet name="2sav" sheetId="12" r:id="rId4"/>
    <sheet name="Atitikmenys" sheetId="4" r:id="rId5"/>
    <sheet name="Tiksli para" sheetId="15" r:id="rId6"/>
    <sheet name="Parametrai" sheetId="16" r:id="rId7"/>
    <sheet name="Debesuotumas ir krituliai" sheetId="14" r:id="rId8"/>
    <sheet name="Simbolių išskleidimas" sheetId="11" r:id="rId9"/>
  </sheets>
  <functionGroups builtInGroupCount="19"/>
  <definedNames>
    <definedName name="_4202" localSheetId="3">'2sav'!$A$1:$H$304</definedName>
    <definedName name="DuomenųFiltras_Debesuotumas">#N/A</definedName>
    <definedName name="DuomenųFiltras_Lietus">#N/A</definedName>
    <definedName name="DuomenųFiltras_Temperatūra">#N/A</definedName>
    <definedName name="DuomenųFiltras_Vėjas">#N/A</definedName>
    <definedName name="_xlnm.Print_Area" localSheetId="1">'Orai 2 sav.'!$A$1:$BF$25</definedName>
    <definedName name="_xlnm.Print_Area" localSheetId="0">'Orai 3 dienos'!$A$1:$Z$25</definedName>
    <definedName name="wdaily1" localSheetId="2">'3dien'!$A$1:$H$199</definedName>
  </definedNames>
  <calcPr calcId="171027"/>
  <fileRecoveryPr autoRecover="0"/>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0"/>
        <x14:slicerCache r:id="rId11"/>
        <x14:slicerCache r:id="rId12"/>
        <x14:slicerCache r:id="rId13"/>
      </x15:slicerCache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68" i="7" l="1"/>
  <c r="D70" i="7"/>
  <c r="D72" i="7"/>
  <c r="H72" i="7"/>
  <c r="D74" i="7"/>
  <c r="H74" i="7"/>
  <c r="D76" i="7"/>
  <c r="H76" i="7"/>
  <c r="D78" i="7"/>
  <c r="H78" i="7"/>
  <c r="D80" i="7"/>
  <c r="H80" i="7"/>
  <c r="D82" i="7"/>
  <c r="H82" i="7"/>
  <c r="D84" i="7"/>
  <c r="H84" i="7"/>
  <c r="D86" i="7"/>
  <c r="H86" i="7"/>
  <c r="D88" i="7"/>
  <c r="D90" i="7"/>
  <c r="D92" i="7"/>
  <c r="H92" i="7"/>
  <c r="D94" i="7"/>
  <c r="H94" i="7"/>
  <c r="D96" i="7"/>
  <c r="H96" i="7"/>
  <c r="D98" i="7"/>
  <c r="H98" i="7"/>
  <c r="D100" i="7"/>
  <c r="H100" i="7"/>
  <c r="D102" i="7"/>
  <c r="D104" i="7"/>
  <c r="D106" i="7"/>
  <c r="D108" i="7"/>
  <c r="H108" i="7"/>
  <c r="D110" i="7"/>
  <c r="H110" i="7"/>
  <c r="D112" i="7"/>
  <c r="H112" i="7"/>
  <c r="D114" i="7"/>
  <c r="D61" i="12"/>
  <c r="G61" i="12"/>
  <c r="D64" i="12"/>
  <c r="D66" i="12"/>
  <c r="H66" i="12"/>
  <c r="D68" i="12"/>
  <c r="H68" i="12"/>
  <c r="D70" i="12"/>
  <c r="H70" i="12"/>
  <c r="D74" i="12"/>
  <c r="G74" i="12"/>
  <c r="D77" i="12"/>
  <c r="H77" i="12"/>
  <c r="D79" i="12"/>
  <c r="D81" i="12"/>
  <c r="H81" i="12"/>
  <c r="D83" i="12"/>
  <c r="H83" i="12"/>
  <c r="D87" i="12"/>
  <c r="G87" i="12"/>
  <c r="D90" i="12"/>
  <c r="D92" i="12"/>
  <c r="D94" i="12"/>
  <c r="H94" i="12"/>
  <c r="D96" i="12"/>
  <c r="D100" i="12"/>
  <c r="G100" i="12"/>
  <c r="D103" i="12"/>
  <c r="H103" i="12"/>
  <c r="D105" i="12"/>
  <c r="H105" i="12"/>
  <c r="D107" i="12"/>
  <c r="H107" i="12"/>
  <c r="D109" i="12"/>
  <c r="H109" i="12"/>
  <c r="D113" i="12"/>
  <c r="G113" i="12"/>
  <c r="D116" i="12"/>
  <c r="H116" i="12"/>
  <c r="D118" i="12"/>
  <c r="H118" i="12"/>
  <c r="D120" i="12"/>
  <c r="H120" i="12"/>
  <c r="D122" i="12"/>
  <c r="H122" i="12"/>
  <c r="D126" i="12"/>
  <c r="G126" i="12"/>
  <c r="D129" i="12"/>
  <c r="H129" i="12"/>
  <c r="D131" i="12"/>
  <c r="H131" i="12"/>
  <c r="D133" i="12"/>
  <c r="H133" i="12"/>
  <c r="D135" i="12"/>
  <c r="H135" i="12"/>
  <c r="D139" i="12"/>
  <c r="G139" i="12"/>
  <c r="D142" i="12"/>
  <c r="H142" i="12"/>
  <c r="D144" i="12"/>
  <c r="H144" i="12"/>
  <c r="D146" i="12"/>
  <c r="H146" i="12"/>
  <c r="D148" i="12"/>
  <c r="H148" i="12"/>
  <c r="D152" i="12"/>
  <c r="G152" i="12"/>
  <c r="D155" i="12"/>
  <c r="D157" i="12"/>
  <c r="H157" i="12"/>
  <c r="D159" i="12"/>
  <c r="H159" i="12"/>
  <c r="D161" i="12"/>
  <c r="H161" i="12"/>
  <c r="D165" i="12"/>
  <c r="G165" i="12"/>
  <c r="D168" i="12"/>
  <c r="H168" i="12"/>
  <c r="D170" i="12"/>
  <c r="D172" i="12"/>
  <c r="H172" i="12"/>
  <c r="D174" i="12"/>
  <c r="H174" i="12"/>
  <c r="D178" i="12"/>
  <c r="G178" i="12"/>
  <c r="D181" i="12"/>
  <c r="H181" i="12"/>
  <c r="D183" i="12"/>
  <c r="H183" i="12"/>
  <c r="D185" i="12"/>
  <c r="H185" i="12"/>
  <c r="D187" i="12"/>
  <c r="H187" i="12"/>
  <c r="D191" i="12"/>
  <c r="G191" i="12"/>
  <c r="D194" i="12"/>
  <c r="H194" i="12"/>
  <c r="D196" i="12"/>
  <c r="D198" i="12"/>
  <c r="H198" i="12"/>
  <c r="D200" i="12"/>
  <c r="H200" i="12"/>
  <c r="D204" i="12"/>
  <c r="G204" i="12"/>
  <c r="D207" i="12"/>
  <c r="H207" i="12"/>
  <c r="D209" i="12"/>
  <c r="H209" i="12"/>
  <c r="D211" i="12"/>
  <c r="H211" i="12"/>
  <c r="D213" i="12"/>
  <c r="H213" i="12"/>
  <c r="G217" i="12"/>
  <c r="D222" i="12"/>
  <c r="D224" i="12"/>
  <c r="H224" i="12"/>
  <c r="D226" i="12"/>
  <c r="H226" i="12"/>
  <c r="D230" i="12"/>
  <c r="G230" i="12"/>
  <c r="D233" i="12"/>
  <c r="H233" i="12"/>
  <c r="D235" i="12"/>
  <c r="H235" i="12"/>
  <c r="D237" i="12"/>
  <c r="H237" i="12"/>
  <c r="D239" i="12"/>
  <c r="H239" i="12"/>
  <c r="D40" i="4" l="1"/>
  <c r="E40" i="4"/>
  <c r="D41" i="4"/>
  <c r="E41" i="4"/>
  <c r="D42" i="4"/>
  <c r="E42" i="4"/>
  <c r="D43" i="4"/>
  <c r="E43" i="4"/>
  <c r="D44" i="4"/>
  <c r="E44" i="4"/>
  <c r="D45" i="4"/>
  <c r="E45" i="4"/>
  <c r="D46" i="4"/>
  <c r="E46" i="4"/>
  <c r="D47" i="4"/>
  <c r="E47" i="4"/>
  <c r="D35" i="4" l="1"/>
  <c r="E35" i="4"/>
  <c r="D36" i="4"/>
  <c r="E36" i="4"/>
  <c r="D37" i="4"/>
  <c r="E37" i="4"/>
  <c r="B4" i="8" l="1"/>
  <c r="B4" i="16"/>
  <c r="B5" i="16"/>
  <c r="A11" i="8" s="1"/>
  <c r="B6" i="16"/>
  <c r="B8" i="16"/>
  <c r="B9" i="16"/>
  <c r="B3" i="16"/>
  <c r="B10" i="16"/>
  <c r="B11" i="16"/>
  <c r="B12" i="16"/>
  <c r="B7" i="16"/>
  <c r="A18" i="8" l="1"/>
  <c r="A17" i="8"/>
  <c r="A16" i="8"/>
  <c r="A15" i="8"/>
  <c r="A14" i="8"/>
  <c r="A13" i="8"/>
  <c r="A12" i="8"/>
  <c r="R207" i="7" l="1"/>
  <c r="Q207" i="7"/>
  <c r="R206" i="7"/>
  <c r="Q206" i="7"/>
  <c r="R205" i="7"/>
  <c r="Q205" i="7"/>
  <c r="R204" i="7"/>
  <c r="Q204" i="7"/>
  <c r="R203" i="7"/>
  <c r="Q203" i="7"/>
  <c r="R202" i="7"/>
  <c r="Q202" i="7"/>
  <c r="R201" i="7"/>
  <c r="Q201" i="7"/>
  <c r="R200" i="7"/>
  <c r="Q200" i="7"/>
  <c r="R199" i="7"/>
  <c r="Q199" i="7"/>
  <c r="R198" i="7"/>
  <c r="Q198" i="7"/>
  <c r="R197" i="7"/>
  <c r="Q197" i="7"/>
  <c r="R196" i="7"/>
  <c r="Q196" i="7"/>
  <c r="R195" i="7"/>
  <c r="Q195" i="7"/>
  <c r="R194" i="7"/>
  <c r="Q194" i="7"/>
  <c r="R193" i="7"/>
  <c r="Q193" i="7"/>
  <c r="R192" i="7"/>
  <c r="Q192" i="7"/>
  <c r="R191" i="7"/>
  <c r="Q191" i="7"/>
  <c r="R190" i="7"/>
  <c r="Q190" i="7"/>
  <c r="R189" i="7"/>
  <c r="R188" i="7"/>
  <c r="R187" i="7"/>
  <c r="R186" i="7"/>
  <c r="R185" i="7"/>
  <c r="R184" i="7"/>
  <c r="R183" i="7"/>
  <c r="R182" i="7"/>
  <c r="R181" i="7"/>
  <c r="R180" i="7"/>
  <c r="R179" i="7"/>
  <c r="R178" i="7"/>
  <c r="R177" i="7"/>
  <c r="R176" i="7"/>
  <c r="R175" i="7"/>
  <c r="R174" i="7"/>
  <c r="R173" i="7"/>
  <c r="R172" i="7"/>
  <c r="R171" i="7"/>
  <c r="R170" i="7"/>
  <c r="R169" i="7"/>
  <c r="R168" i="7"/>
  <c r="R167" i="7"/>
  <c r="R166" i="7"/>
  <c r="R165" i="7"/>
  <c r="R164" i="7"/>
  <c r="R163" i="7"/>
  <c r="R162" i="7"/>
  <c r="R161" i="7"/>
  <c r="R160" i="7"/>
  <c r="R159" i="7"/>
  <c r="R158" i="7"/>
  <c r="R157" i="7"/>
  <c r="R156" i="7"/>
  <c r="R155" i="7"/>
  <c r="R154" i="7"/>
  <c r="R153" i="7"/>
  <c r="R152" i="7"/>
  <c r="R151" i="7"/>
  <c r="R150" i="7"/>
  <c r="R149" i="7"/>
  <c r="R148" i="7"/>
  <c r="R147" i="7"/>
  <c r="R146" i="7"/>
  <c r="R145" i="7"/>
  <c r="R144" i="7"/>
  <c r="R143" i="7"/>
  <c r="R142" i="7"/>
  <c r="R141" i="7"/>
  <c r="R140" i="7"/>
  <c r="R139" i="7"/>
  <c r="R138" i="7"/>
  <c r="R137" i="7"/>
  <c r="R136" i="7"/>
  <c r="R135" i="7"/>
  <c r="R134" i="7"/>
  <c r="R133" i="7"/>
  <c r="R132" i="7"/>
  <c r="R131" i="7"/>
  <c r="R130" i="7"/>
  <c r="R129" i="7"/>
  <c r="R128" i="7"/>
  <c r="R127" i="7"/>
  <c r="R126" i="7"/>
  <c r="R125" i="7"/>
  <c r="R124" i="7"/>
  <c r="R123" i="7"/>
  <c r="R122" i="7"/>
  <c r="R121" i="7"/>
  <c r="R119" i="7"/>
  <c r="R118" i="7"/>
  <c r="R117" i="7"/>
  <c r="R116" i="7"/>
  <c r="R115" i="7"/>
  <c r="R114" i="7"/>
  <c r="R113" i="7"/>
  <c r="R112" i="7"/>
  <c r="R111" i="7"/>
  <c r="R110" i="7"/>
  <c r="R109" i="7"/>
  <c r="R108" i="7"/>
  <c r="R107" i="7"/>
  <c r="R106" i="7"/>
  <c r="R105" i="7"/>
  <c r="R104" i="7"/>
  <c r="R103" i="7"/>
  <c r="R102" i="7"/>
  <c r="R101" i="7"/>
  <c r="R100" i="7"/>
  <c r="R99" i="7"/>
  <c r="R98" i="7"/>
  <c r="R97" i="7"/>
  <c r="R96" i="7"/>
  <c r="R95" i="7"/>
  <c r="R94" i="7"/>
  <c r="R93" i="7"/>
  <c r="R92" i="7"/>
  <c r="R91" i="7"/>
  <c r="R90" i="7"/>
  <c r="R89" i="7"/>
  <c r="R88" i="7"/>
  <c r="R87" i="7"/>
  <c r="R86" i="7"/>
  <c r="R85" i="7"/>
  <c r="R84" i="7"/>
  <c r="R83" i="7"/>
  <c r="R82" i="7"/>
  <c r="R81" i="7"/>
  <c r="R80" i="7"/>
  <c r="R79" i="7"/>
  <c r="R78" i="7"/>
  <c r="R77" i="7"/>
  <c r="R76" i="7"/>
  <c r="R75" i="7"/>
  <c r="R74" i="7"/>
  <c r="R73" i="7"/>
  <c r="R72" i="7"/>
  <c r="R71" i="7"/>
  <c r="R70" i="7"/>
  <c r="R69" i="7"/>
  <c r="R68" i="7"/>
  <c r="R67" i="7"/>
  <c r="R66" i="7"/>
  <c r="R65" i="7"/>
  <c r="R64" i="7"/>
  <c r="R63" i="7"/>
  <c r="R62" i="7"/>
  <c r="R61" i="7"/>
  <c r="R60" i="7"/>
  <c r="R59" i="7"/>
  <c r="R58" i="7"/>
  <c r="R57" i="7"/>
  <c r="R56" i="7"/>
  <c r="R55" i="7"/>
  <c r="R54" i="7"/>
  <c r="R53" i="7"/>
  <c r="R52" i="7"/>
  <c r="R51" i="7"/>
  <c r="R50" i="7"/>
  <c r="R49" i="7"/>
  <c r="R48" i="7"/>
  <c r="R47" i="7"/>
  <c r="R46" i="7"/>
  <c r="R45" i="7"/>
  <c r="R44" i="7"/>
  <c r="R43" i="7"/>
  <c r="R42" i="7"/>
  <c r="R41" i="7"/>
  <c r="R40" i="7"/>
  <c r="R39" i="7"/>
  <c r="R38" i="7"/>
  <c r="R37" i="7"/>
  <c r="R36" i="7"/>
  <c r="R35" i="7"/>
  <c r="R34" i="7"/>
  <c r="R33" i="7"/>
  <c r="R32" i="7"/>
  <c r="R31" i="7"/>
  <c r="R30" i="7"/>
  <c r="R29" i="7"/>
  <c r="R28" i="7"/>
  <c r="R27" i="7"/>
  <c r="R26" i="7"/>
  <c r="R25" i="7"/>
  <c r="R24" i="7"/>
  <c r="R23" i="7"/>
  <c r="R22" i="7"/>
  <c r="R21" i="7"/>
  <c r="R20" i="7"/>
  <c r="R19" i="7"/>
  <c r="R18" i="7"/>
  <c r="R17" i="7"/>
  <c r="R16" i="7"/>
  <c r="R15" i="7"/>
  <c r="R14" i="7"/>
  <c r="R13" i="7"/>
  <c r="R12" i="7"/>
  <c r="R11" i="7"/>
  <c r="R10" i="7"/>
  <c r="R9" i="7"/>
  <c r="R8" i="7"/>
  <c r="R7" i="7"/>
  <c r="R6" i="7"/>
  <c r="R5" i="7"/>
  <c r="R4" i="7"/>
  <c r="R3" i="7"/>
  <c r="R2" i="7"/>
  <c r="R120" i="7"/>
  <c r="Q2" i="7"/>
  <c r="Q3" i="7"/>
  <c r="Q4" i="7"/>
  <c r="Q5" i="7"/>
  <c r="Q6" i="7"/>
  <c r="Q7" i="7"/>
  <c r="Q8" i="7"/>
  <c r="Q9" i="7"/>
  <c r="Q10" i="7"/>
  <c r="Q11" i="7"/>
  <c r="Q12" i="7"/>
  <c r="Q13" i="7"/>
  <c r="Q14" i="7"/>
  <c r="Q15" i="7"/>
  <c r="Q16" i="7"/>
  <c r="Q17" i="7"/>
  <c r="Q18" i="7"/>
  <c r="Q19" i="7"/>
  <c r="Q20" i="7"/>
  <c r="Q21" i="7"/>
  <c r="Q22" i="7"/>
  <c r="Q23" i="7"/>
  <c r="Q24" i="7"/>
  <c r="Q25" i="7"/>
  <c r="Q26" i="7"/>
  <c r="Q27" i="7"/>
  <c r="Q28" i="7"/>
  <c r="Q29" i="7"/>
  <c r="Q30" i="7"/>
  <c r="Q31" i="7"/>
  <c r="Q32" i="7"/>
  <c r="Q33" i="7"/>
  <c r="Q34" i="7"/>
  <c r="Q35" i="7"/>
  <c r="Q36" i="7"/>
  <c r="Q37" i="7"/>
  <c r="Q38" i="7"/>
  <c r="Q39" i="7"/>
  <c r="Q40" i="7"/>
  <c r="Q41" i="7"/>
  <c r="Q42" i="7"/>
  <c r="Q43" i="7"/>
  <c r="Q44" i="7"/>
  <c r="Q45" i="7"/>
  <c r="Q46" i="7"/>
  <c r="Q47" i="7"/>
  <c r="Q48" i="7"/>
  <c r="Q49" i="7"/>
  <c r="Q50" i="7"/>
  <c r="Q51" i="7"/>
  <c r="Q52" i="7"/>
  <c r="Q53" i="7"/>
  <c r="Q54" i="7"/>
  <c r="Q55" i="7"/>
  <c r="Q56" i="7"/>
  <c r="Q57" i="7"/>
  <c r="Q58" i="7"/>
  <c r="Q59" i="7"/>
  <c r="Q60" i="7"/>
  <c r="Q61" i="7"/>
  <c r="Q62" i="7"/>
  <c r="Q63" i="7"/>
  <c r="Q64" i="7"/>
  <c r="Q65" i="7"/>
  <c r="Q66" i="7"/>
  <c r="Q67" i="7"/>
  <c r="Q68" i="7"/>
  <c r="Q69" i="7"/>
  <c r="Q70" i="7"/>
  <c r="Q71" i="7"/>
  <c r="Q72" i="7"/>
  <c r="Q73" i="7"/>
  <c r="Q74" i="7"/>
  <c r="Q75" i="7"/>
  <c r="Q76" i="7"/>
  <c r="Q77" i="7"/>
  <c r="Q78" i="7"/>
  <c r="Q79" i="7"/>
  <c r="Q80" i="7"/>
  <c r="Q81" i="7"/>
  <c r="Q82" i="7"/>
  <c r="Q83" i="7"/>
  <c r="Q84" i="7"/>
  <c r="Q85" i="7"/>
  <c r="Q86" i="7"/>
  <c r="Q87" i="7"/>
  <c r="Q88" i="7"/>
  <c r="Q89" i="7"/>
  <c r="Q90" i="7"/>
  <c r="Q91" i="7"/>
  <c r="Q92" i="7"/>
  <c r="Q93" i="7"/>
  <c r="Q94" i="7"/>
  <c r="Q95" i="7"/>
  <c r="Q96" i="7"/>
  <c r="Q97" i="7"/>
  <c r="Q98" i="7"/>
  <c r="Q99" i="7"/>
  <c r="Q100" i="7"/>
  <c r="Q101" i="7"/>
  <c r="Q102" i="7"/>
  <c r="Q103" i="7"/>
  <c r="Q104" i="7"/>
  <c r="Q105" i="7"/>
  <c r="Q106" i="7"/>
  <c r="Q107" i="7"/>
  <c r="Q108" i="7"/>
  <c r="Q109" i="7"/>
  <c r="Q110" i="7"/>
  <c r="Q111" i="7"/>
  <c r="Q112" i="7"/>
  <c r="Q113" i="7"/>
  <c r="Q114" i="7"/>
  <c r="Q115" i="7"/>
  <c r="Q116" i="7"/>
  <c r="Q117" i="7"/>
  <c r="Q118" i="7"/>
  <c r="Q119" i="7"/>
  <c r="Q120" i="7"/>
  <c r="Q121" i="7"/>
  <c r="Q122" i="7"/>
  <c r="Q123" i="7"/>
  <c r="Q124" i="7"/>
  <c r="Q125" i="7"/>
  <c r="Q126" i="7"/>
  <c r="Q127" i="7"/>
  <c r="Q128" i="7"/>
  <c r="Q129" i="7"/>
  <c r="Q130" i="7"/>
  <c r="Q131" i="7"/>
  <c r="Q132" i="7"/>
  <c r="Q133" i="7"/>
  <c r="Q134" i="7"/>
  <c r="Q135" i="7"/>
  <c r="Q136" i="7"/>
  <c r="Q137" i="7"/>
  <c r="Q138" i="7"/>
  <c r="Q139" i="7"/>
  <c r="Q140" i="7"/>
  <c r="Q141" i="7"/>
  <c r="Q142" i="7"/>
  <c r="Q143" i="7"/>
  <c r="Q144" i="7"/>
  <c r="Q145" i="7"/>
  <c r="Q146" i="7"/>
  <c r="Q147" i="7"/>
  <c r="Q148" i="7"/>
  <c r="Q149" i="7"/>
  <c r="Q150" i="7"/>
  <c r="Q151" i="7"/>
  <c r="Q152" i="7"/>
  <c r="Q153" i="7"/>
  <c r="Q154" i="7"/>
  <c r="Q155" i="7"/>
  <c r="Q156" i="7"/>
  <c r="Q157" i="7"/>
  <c r="Q158" i="7"/>
  <c r="Q159" i="7"/>
  <c r="Q160" i="7"/>
  <c r="Q161" i="7"/>
  <c r="Q162" i="7"/>
  <c r="Q163" i="7"/>
  <c r="Q164" i="7"/>
  <c r="Q165" i="7"/>
  <c r="Q166" i="7"/>
  <c r="Q167" i="7"/>
  <c r="Q168" i="7"/>
  <c r="Q169" i="7"/>
  <c r="Q170" i="7"/>
  <c r="Q171" i="7"/>
  <c r="Q172" i="7"/>
  <c r="Q173" i="7"/>
  <c r="Q174" i="7"/>
  <c r="Q175" i="7"/>
  <c r="Q176" i="7"/>
  <c r="Q177" i="7"/>
  <c r="Q178" i="7"/>
  <c r="Q179" i="7"/>
  <c r="Q180" i="7"/>
  <c r="Q181" i="7"/>
  <c r="Q182" i="7"/>
  <c r="Q183" i="7"/>
  <c r="Q184" i="7"/>
  <c r="Q185" i="7"/>
  <c r="Q186" i="7"/>
  <c r="Q187" i="7"/>
  <c r="Q188" i="7"/>
  <c r="Q189" i="7"/>
  <c r="D2" i="8" l="1"/>
  <c r="J2" i="8"/>
  <c r="AB3" i="15"/>
  <c r="AB4" i="15" s="1"/>
  <c r="B3" i="15"/>
  <c r="E13" i="4"/>
  <c r="D2" i="15" l="1"/>
  <c r="D1" i="15" s="1"/>
  <c r="H2" i="15"/>
  <c r="L2" i="15"/>
  <c r="L1" i="15" s="1"/>
  <c r="P2" i="15"/>
  <c r="P1" i="15" s="1"/>
  <c r="T2" i="15"/>
  <c r="T1" i="15" s="1"/>
  <c r="X2" i="15"/>
  <c r="X1" i="15" s="1"/>
  <c r="O2" i="15"/>
  <c r="O1" i="15" s="1"/>
  <c r="W2" i="15"/>
  <c r="W1" i="15" s="1"/>
  <c r="E2" i="15"/>
  <c r="E1" i="15" s="1"/>
  <c r="I2" i="15"/>
  <c r="M2" i="15"/>
  <c r="M1" i="15" s="1"/>
  <c r="Q2" i="15"/>
  <c r="Q1" i="15" s="1"/>
  <c r="U2" i="15"/>
  <c r="U1" i="15" s="1"/>
  <c r="Y2" i="15"/>
  <c r="Y1" i="15" s="1"/>
  <c r="G2" i="15"/>
  <c r="F2" i="15"/>
  <c r="F1" i="15" s="1"/>
  <c r="J2" i="15"/>
  <c r="N2" i="15"/>
  <c r="N1" i="15" s="1"/>
  <c r="R2" i="15"/>
  <c r="R1" i="15" s="1"/>
  <c r="V2" i="15"/>
  <c r="V1" i="15" s="1"/>
  <c r="Z2" i="15"/>
  <c r="Z1" i="15" s="1"/>
  <c r="K2" i="15"/>
  <c r="S2" i="15"/>
  <c r="S1" i="15" s="1"/>
  <c r="B4" i="15"/>
  <c r="C2" i="15"/>
  <c r="C1" i="15" s="1"/>
  <c r="K1" i="15" l="1"/>
  <c r="J1" i="15"/>
  <c r="I1" i="15"/>
  <c r="H1" i="15"/>
  <c r="G1" i="15"/>
  <c r="D7" i="4"/>
  <c r="E7" i="4"/>
  <c r="D8" i="4"/>
  <c r="E8" i="4"/>
  <c r="D9" i="4"/>
  <c r="E9" i="4"/>
  <c r="D10" i="4"/>
  <c r="E10" i="4"/>
  <c r="D11" i="4"/>
  <c r="E11" i="4"/>
  <c r="D12" i="4"/>
  <c r="E12" i="4"/>
  <c r="D14" i="4"/>
  <c r="E14" i="4"/>
  <c r="D15" i="4"/>
  <c r="E15" i="4"/>
  <c r="D16" i="4"/>
  <c r="E16" i="4"/>
  <c r="D17" i="4"/>
  <c r="E17" i="4"/>
  <c r="D18" i="4"/>
  <c r="E18" i="4"/>
  <c r="D19" i="4"/>
  <c r="E19" i="4"/>
  <c r="D20" i="4"/>
  <c r="E20" i="4"/>
  <c r="D21" i="4"/>
  <c r="E21" i="4"/>
  <c r="D22" i="4"/>
  <c r="E22" i="4"/>
  <c r="D23" i="4"/>
  <c r="E23" i="4"/>
  <c r="D24" i="4"/>
  <c r="E24" i="4"/>
  <c r="D25" i="4"/>
  <c r="E25" i="4"/>
  <c r="D27" i="4"/>
  <c r="E27" i="4"/>
  <c r="D28" i="4"/>
  <c r="E28" i="4"/>
  <c r="D29" i="4"/>
  <c r="E29" i="4"/>
  <c r="D30" i="4"/>
  <c r="E30" i="4"/>
  <c r="D31" i="4"/>
  <c r="E31" i="4"/>
  <c r="D32" i="4"/>
  <c r="E32" i="4"/>
  <c r="D33" i="4"/>
  <c r="E33" i="4"/>
  <c r="D34" i="4"/>
  <c r="E34" i="4"/>
  <c r="D38" i="4"/>
  <c r="E38" i="4"/>
  <c r="D39" i="4"/>
  <c r="E39" i="4"/>
  <c r="D26" i="4"/>
  <c r="E26" i="4"/>
  <c r="I5" i="14"/>
  <c r="I13" i="14" s="1"/>
  <c r="I14" i="14" s="1"/>
  <c r="C21" i="8" l="1"/>
  <c r="C12" i="8"/>
  <c r="E3" i="8" l="1"/>
  <c r="C3" i="13"/>
  <c r="E6" i="4"/>
  <c r="D6" i="4"/>
  <c r="K42" i="13"/>
  <c r="O42" i="13" s="1"/>
  <c r="N42" i="13"/>
  <c r="K43" i="13"/>
  <c r="L43" i="13" s="1"/>
  <c r="N43" i="13"/>
  <c r="H43" i="13"/>
  <c r="I43" i="13"/>
  <c r="G43" i="13"/>
  <c r="J43" i="13" s="1"/>
  <c r="F43" i="13"/>
  <c r="E43" i="13"/>
  <c r="D43" i="13"/>
  <c r="J42" i="13"/>
  <c r="I42" i="13"/>
  <c r="H42" i="13"/>
  <c r="G42" i="13"/>
  <c r="F42" i="13"/>
  <c r="E42" i="13"/>
  <c r="D42" i="13"/>
  <c r="R42" i="13" l="1"/>
  <c r="S42" i="13"/>
  <c r="O43" i="13"/>
  <c r="M43" i="13"/>
  <c r="U42" i="13"/>
  <c r="Q42" i="13"/>
  <c r="M42" i="13"/>
  <c r="T42" i="13"/>
  <c r="P42" i="13"/>
  <c r="L42" i="13"/>
  <c r="M86" i="12"/>
  <c r="N86" i="12"/>
  <c r="O86" i="12"/>
  <c r="P86" i="12"/>
  <c r="O87" i="12"/>
  <c r="P87" i="12"/>
  <c r="O88" i="12"/>
  <c r="P88" i="12"/>
  <c r="P89" i="12"/>
  <c r="M91" i="12"/>
  <c r="N91" i="12"/>
  <c r="P91" i="12"/>
  <c r="M93" i="12"/>
  <c r="N93" i="12"/>
  <c r="P93" i="12"/>
  <c r="M95" i="12"/>
  <c r="N95" i="12"/>
  <c r="P95" i="12"/>
  <c r="M97" i="12"/>
  <c r="N97" i="12"/>
  <c r="O97" i="12"/>
  <c r="P97" i="12"/>
  <c r="M99" i="12"/>
  <c r="N99" i="12"/>
  <c r="O99" i="12"/>
  <c r="P99" i="12"/>
  <c r="O100" i="12"/>
  <c r="P100" i="12"/>
  <c r="O101" i="12"/>
  <c r="P101" i="12"/>
  <c r="P102" i="12"/>
  <c r="M104" i="12"/>
  <c r="N104" i="12"/>
  <c r="P104" i="12"/>
  <c r="M106" i="12"/>
  <c r="N106" i="12"/>
  <c r="P106" i="12"/>
  <c r="M108" i="12"/>
  <c r="N108" i="12"/>
  <c r="P108" i="12"/>
  <c r="M110" i="12"/>
  <c r="N110" i="12"/>
  <c r="O110" i="12"/>
  <c r="P110" i="12"/>
  <c r="M112" i="12"/>
  <c r="N112" i="12"/>
  <c r="O112" i="12"/>
  <c r="P112" i="12"/>
  <c r="O113" i="12"/>
  <c r="P113" i="12"/>
  <c r="O114" i="12"/>
  <c r="P114" i="12"/>
  <c r="P115" i="12"/>
  <c r="M117" i="12"/>
  <c r="N117" i="12"/>
  <c r="P117" i="12"/>
  <c r="M119" i="12"/>
  <c r="N119" i="12"/>
  <c r="P119" i="12"/>
  <c r="M121" i="12"/>
  <c r="N121" i="12"/>
  <c r="P121" i="12"/>
  <c r="M123" i="12"/>
  <c r="N123" i="12"/>
  <c r="O123" i="12"/>
  <c r="P123" i="12"/>
  <c r="M125" i="12"/>
  <c r="N125" i="12"/>
  <c r="O125" i="12"/>
  <c r="P125" i="12"/>
  <c r="O126" i="12"/>
  <c r="P126" i="12"/>
  <c r="O127" i="12"/>
  <c r="P127" i="12"/>
  <c r="P128" i="12"/>
  <c r="M130" i="12"/>
  <c r="N130" i="12"/>
  <c r="P130" i="12"/>
  <c r="M132" i="12"/>
  <c r="N132" i="12"/>
  <c r="P132" i="12"/>
  <c r="M134" i="12"/>
  <c r="N134" i="12"/>
  <c r="P134" i="12"/>
  <c r="M136" i="12"/>
  <c r="N136" i="12"/>
  <c r="O136" i="12"/>
  <c r="P136" i="12"/>
  <c r="M138" i="12"/>
  <c r="N138" i="12"/>
  <c r="O138" i="12"/>
  <c r="P138" i="12"/>
  <c r="O139" i="12"/>
  <c r="P139" i="12"/>
  <c r="O140" i="12"/>
  <c r="P140" i="12"/>
  <c r="P141" i="12"/>
  <c r="M143" i="12"/>
  <c r="N143" i="12"/>
  <c r="P143" i="12"/>
  <c r="M145" i="12"/>
  <c r="N145" i="12"/>
  <c r="P145" i="12"/>
  <c r="M147" i="12"/>
  <c r="N147" i="12"/>
  <c r="P147" i="12"/>
  <c r="M149" i="12"/>
  <c r="N149" i="12"/>
  <c r="O149" i="12"/>
  <c r="P149" i="12"/>
  <c r="M151" i="12"/>
  <c r="N151" i="12"/>
  <c r="O151" i="12"/>
  <c r="P151" i="12"/>
  <c r="O152" i="12"/>
  <c r="P152" i="12"/>
  <c r="O153" i="12"/>
  <c r="P153" i="12"/>
  <c r="P154" i="12"/>
  <c r="M156" i="12"/>
  <c r="N156" i="12"/>
  <c r="P156" i="12"/>
  <c r="M158" i="12"/>
  <c r="N158" i="12"/>
  <c r="P158" i="12"/>
  <c r="M160" i="12"/>
  <c r="N160" i="12"/>
  <c r="P160" i="12"/>
  <c r="M162" i="12"/>
  <c r="N162" i="12"/>
  <c r="O162" i="12"/>
  <c r="P162" i="12"/>
  <c r="M164" i="12"/>
  <c r="N164" i="12"/>
  <c r="O164" i="12"/>
  <c r="P164" i="12"/>
  <c r="O165" i="12"/>
  <c r="P165" i="12"/>
  <c r="O166" i="12"/>
  <c r="P166" i="12"/>
  <c r="P167" i="12"/>
  <c r="M169" i="12"/>
  <c r="N169" i="12"/>
  <c r="P169" i="12"/>
  <c r="M171" i="12"/>
  <c r="N171" i="12"/>
  <c r="P171" i="12"/>
  <c r="M173" i="12"/>
  <c r="N173" i="12"/>
  <c r="P173" i="12"/>
  <c r="M175" i="12"/>
  <c r="N175" i="12"/>
  <c r="O175" i="12"/>
  <c r="P175" i="12"/>
  <c r="M177" i="12"/>
  <c r="N177" i="12"/>
  <c r="O177" i="12"/>
  <c r="P177" i="12"/>
  <c r="O178" i="12"/>
  <c r="P178" i="12"/>
  <c r="O179" i="12"/>
  <c r="P179" i="12"/>
  <c r="P180" i="12"/>
  <c r="M182" i="12"/>
  <c r="N182" i="12"/>
  <c r="P182" i="12"/>
  <c r="M184" i="12"/>
  <c r="N184" i="12"/>
  <c r="P184" i="12"/>
  <c r="M186" i="12"/>
  <c r="N186" i="12"/>
  <c r="P186" i="12"/>
  <c r="M188" i="12"/>
  <c r="N188" i="12"/>
  <c r="O188" i="12"/>
  <c r="P188" i="12"/>
  <c r="M190" i="12"/>
  <c r="N190" i="12"/>
  <c r="O190" i="12"/>
  <c r="P190" i="12"/>
  <c r="O191" i="12"/>
  <c r="P191" i="12"/>
  <c r="O192" i="12"/>
  <c r="P192" i="12"/>
  <c r="P193" i="12"/>
  <c r="M195" i="12"/>
  <c r="N195" i="12"/>
  <c r="P195" i="12"/>
  <c r="M197" i="12"/>
  <c r="N197" i="12"/>
  <c r="P197" i="12"/>
  <c r="M199" i="12"/>
  <c r="N199" i="12"/>
  <c r="P199" i="12"/>
  <c r="M201" i="12"/>
  <c r="N201" i="12"/>
  <c r="O201" i="12"/>
  <c r="P201" i="12"/>
  <c r="M203" i="12"/>
  <c r="N203" i="12"/>
  <c r="O203" i="12"/>
  <c r="P203" i="12"/>
  <c r="O204" i="12"/>
  <c r="P204" i="12"/>
  <c r="O205" i="12"/>
  <c r="P205" i="12"/>
  <c r="P206" i="12"/>
  <c r="M208" i="12"/>
  <c r="N208" i="12"/>
  <c r="P208" i="12"/>
  <c r="M210" i="12"/>
  <c r="N210" i="12"/>
  <c r="P210" i="12"/>
  <c r="M212" i="12"/>
  <c r="N212" i="12"/>
  <c r="P212" i="12"/>
  <c r="M214" i="12"/>
  <c r="N214" i="12"/>
  <c r="O214" i="12"/>
  <c r="P214" i="12"/>
  <c r="M216" i="12"/>
  <c r="N216" i="12"/>
  <c r="O216" i="12"/>
  <c r="P216" i="12"/>
  <c r="O217" i="12"/>
  <c r="P217" i="12"/>
  <c r="O218" i="12"/>
  <c r="P218" i="12"/>
  <c r="P219" i="12"/>
  <c r="M221" i="12"/>
  <c r="N221" i="12"/>
  <c r="P221" i="12"/>
  <c r="M223" i="12"/>
  <c r="N223" i="12"/>
  <c r="P223" i="12"/>
  <c r="M225" i="12"/>
  <c r="N225" i="12"/>
  <c r="P225" i="12"/>
  <c r="M227" i="12"/>
  <c r="N227" i="12"/>
  <c r="O227" i="12"/>
  <c r="P227" i="12"/>
  <c r="M229" i="12"/>
  <c r="N229" i="12"/>
  <c r="O229" i="12"/>
  <c r="P229" i="12"/>
  <c r="O230" i="12"/>
  <c r="P230" i="12"/>
  <c r="O231" i="12"/>
  <c r="P231" i="12"/>
  <c r="P232" i="12"/>
  <c r="M234" i="12"/>
  <c r="N234" i="12"/>
  <c r="P234" i="12"/>
  <c r="M236" i="12"/>
  <c r="N236" i="12"/>
  <c r="P236" i="12"/>
  <c r="M238" i="12"/>
  <c r="N238" i="12"/>
  <c r="P238" i="12"/>
  <c r="M240" i="12"/>
  <c r="N240" i="12"/>
  <c r="O240" i="12"/>
  <c r="P240" i="12"/>
  <c r="M73" i="12"/>
  <c r="N73" i="12"/>
  <c r="O73" i="12"/>
  <c r="P73" i="12"/>
  <c r="O74" i="12"/>
  <c r="P74" i="12"/>
  <c r="O75" i="12"/>
  <c r="P75" i="12"/>
  <c r="P76" i="12"/>
  <c r="M78" i="12"/>
  <c r="N78" i="12"/>
  <c r="P78" i="12"/>
  <c r="M80" i="12"/>
  <c r="N80" i="12"/>
  <c r="P80" i="12"/>
  <c r="M82" i="12"/>
  <c r="N82" i="12"/>
  <c r="P82" i="12"/>
  <c r="M84" i="12"/>
  <c r="N84" i="12"/>
  <c r="O84" i="12"/>
  <c r="P84" i="12"/>
  <c r="M60" i="12"/>
  <c r="N60" i="12"/>
  <c r="O60" i="12"/>
  <c r="P60" i="12"/>
  <c r="O61" i="12"/>
  <c r="P61" i="12"/>
  <c r="O62" i="12"/>
  <c r="P62" i="12"/>
  <c r="P63" i="12"/>
  <c r="N65" i="12"/>
  <c r="N67" i="12"/>
  <c r="N69" i="12"/>
  <c r="N71" i="12"/>
  <c r="M65" i="12"/>
  <c r="M67" i="12"/>
  <c r="M69" i="12"/>
  <c r="M71" i="12"/>
  <c r="P67" i="12"/>
  <c r="P69" i="12"/>
  <c r="O71" i="12"/>
  <c r="P71" i="12"/>
  <c r="P65" i="12"/>
  <c r="A51" i="13"/>
  <c r="A52" i="13"/>
  <c r="A53" i="13"/>
  <c r="A54" i="13"/>
  <c r="A55" i="13"/>
  <c r="A56" i="13"/>
  <c r="A57" i="13"/>
  <c r="F4" i="13"/>
  <c r="P43" i="13" l="1"/>
  <c r="R43" i="13"/>
  <c r="S43" i="13"/>
  <c r="Q43" i="13"/>
  <c r="W42" i="13"/>
  <c r="V42" i="13"/>
  <c r="C4" i="13"/>
  <c r="G4" i="13" s="1"/>
  <c r="K4" i="13" s="1"/>
  <c r="O4" i="13" s="1"/>
  <c r="S4" i="13" s="1"/>
  <c r="W4" i="13" s="1"/>
  <c r="AA4" i="13" s="1"/>
  <c r="AE4" i="13" s="1"/>
  <c r="AI4" i="13" s="1"/>
  <c r="AM4" i="13" s="1"/>
  <c r="AQ4" i="13" s="1"/>
  <c r="AU4" i="13" s="1"/>
  <c r="AY4" i="13" s="1"/>
  <c r="BC4" i="13" s="1"/>
  <c r="J4" i="13"/>
  <c r="A3" i="13"/>
  <c r="C5" i="8"/>
  <c r="T43" i="13" l="1"/>
  <c r="W43" i="13"/>
  <c r="V43" i="13"/>
  <c r="U43" i="13"/>
  <c r="Z42" i="13"/>
  <c r="AA42" i="13"/>
  <c r="Y42" i="13"/>
  <c r="X42" i="13"/>
  <c r="N4" i="13"/>
  <c r="R4" i="13" s="1"/>
  <c r="J3" i="8"/>
  <c r="C3" i="8"/>
  <c r="D3" i="8"/>
  <c r="F3" i="8"/>
  <c r="G3" i="8"/>
  <c r="H3" i="8"/>
  <c r="I3" i="8"/>
  <c r="V4" i="13" l="1"/>
  <c r="Z4" i="13" s="1"/>
  <c r="AD4" i="13" s="1"/>
  <c r="AH4" i="13" s="1"/>
  <c r="AL4" i="13" s="1"/>
  <c r="AP4" i="13" s="1"/>
  <c r="AT4" i="13" s="1"/>
  <c r="AX4" i="13" s="1"/>
  <c r="BB4" i="13" s="1"/>
  <c r="BF4" i="13" s="1"/>
  <c r="AE42" i="13"/>
  <c r="AD42" i="13"/>
  <c r="AC42" i="13"/>
  <c r="AB42" i="13"/>
  <c r="X43" i="13"/>
  <c r="Z43" i="13"/>
  <c r="AA43" i="13"/>
  <c r="Y43" i="13"/>
  <c r="P85" i="7"/>
  <c r="P87" i="7"/>
  <c r="P89" i="7"/>
  <c r="P91" i="7"/>
  <c r="P93" i="7"/>
  <c r="P95" i="7"/>
  <c r="P97" i="7"/>
  <c r="P99" i="7"/>
  <c r="P101" i="7"/>
  <c r="P103" i="7"/>
  <c r="P105" i="7"/>
  <c r="P107" i="7"/>
  <c r="P109" i="7"/>
  <c r="P111" i="7"/>
  <c r="P113" i="7"/>
  <c r="P115" i="7"/>
  <c r="P69" i="7"/>
  <c r="P71" i="7"/>
  <c r="P73" i="7"/>
  <c r="P75" i="7"/>
  <c r="P77" i="7"/>
  <c r="P79" i="7"/>
  <c r="P81" i="7"/>
  <c r="P83" i="7"/>
  <c r="P67" i="7"/>
  <c r="K161" i="12"/>
  <c r="L142" i="12"/>
  <c r="L157" i="12"/>
  <c r="L238" i="12"/>
  <c r="J152" i="12"/>
  <c r="J102" i="12"/>
  <c r="L81" i="12"/>
  <c r="K155" i="12"/>
  <c r="J194" i="12"/>
  <c r="L194" i="12"/>
  <c r="K116" i="12"/>
  <c r="K122" i="12"/>
  <c r="J196" i="12"/>
  <c r="J213" i="12"/>
  <c r="L223" i="12"/>
  <c r="J94" i="12"/>
  <c r="K224" i="12"/>
  <c r="K194" i="12"/>
  <c r="J200" i="12"/>
  <c r="J74" i="12"/>
  <c r="J144" i="12"/>
  <c r="L102" i="12"/>
  <c r="J96" i="12"/>
  <c r="J232" i="12"/>
  <c r="K213" i="12"/>
  <c r="J219" i="12"/>
  <c r="J90" i="12"/>
  <c r="J56" i="12"/>
  <c r="K81" i="12"/>
  <c r="L195" i="12"/>
  <c r="J207" i="12"/>
  <c r="L122" i="12"/>
  <c r="K64" i="12"/>
  <c r="L208" i="12"/>
  <c r="J174" i="12"/>
  <c r="J62" i="12"/>
  <c r="J135" i="12"/>
  <c r="L64" i="12"/>
  <c r="L148" i="12"/>
  <c r="L206" i="12"/>
  <c r="J141" i="12"/>
  <c r="J231" i="12"/>
  <c r="L224" i="12"/>
  <c r="J172" i="12"/>
  <c r="K131" i="12"/>
  <c r="L185" i="12"/>
  <c r="K77" i="12"/>
  <c r="L143" i="12"/>
  <c r="K107" i="12"/>
  <c r="K96" i="12"/>
  <c r="J148" i="12"/>
  <c r="L170" i="12"/>
  <c r="L232" i="12"/>
  <c r="J126" i="12"/>
  <c r="J131" i="12"/>
  <c r="J87" i="12"/>
  <c r="L121" i="12"/>
  <c r="J233" i="12"/>
  <c r="K211" i="12"/>
  <c r="J75" i="12"/>
  <c r="L159" i="12"/>
  <c r="L79" i="12"/>
  <c r="K70" i="12"/>
  <c r="K146" i="12"/>
  <c r="L95" i="12"/>
  <c r="L108" i="12"/>
  <c r="J155" i="12"/>
  <c r="J185" i="12"/>
  <c r="L197" i="12"/>
  <c r="J105" i="12"/>
  <c r="L198" i="12"/>
  <c r="L184" i="12"/>
  <c r="J217" i="12"/>
  <c r="J146" i="12"/>
  <c r="J115" i="12"/>
  <c r="J222" i="12"/>
  <c r="L234" i="12"/>
  <c r="K235" i="12"/>
  <c r="K185" i="12"/>
  <c r="K135" i="12"/>
  <c r="L169" i="12"/>
  <c r="J154" i="12"/>
  <c r="K118" i="12"/>
  <c r="K172" i="12"/>
  <c r="L134" i="12"/>
  <c r="L106" i="12"/>
  <c r="K148" i="12"/>
  <c r="J159" i="12"/>
  <c r="L212" i="12"/>
  <c r="L199" i="12"/>
  <c r="L213" i="12"/>
  <c r="J140" i="12"/>
  <c r="L193" i="12"/>
  <c r="J103" i="12"/>
  <c r="K207" i="12"/>
  <c r="L221" i="12"/>
  <c r="L105" i="12"/>
  <c r="K209" i="12"/>
  <c r="K109" i="12"/>
  <c r="J220" i="12"/>
  <c r="J193" i="12"/>
  <c r="J181" i="12"/>
  <c r="L211" i="12"/>
  <c r="L168" i="12"/>
  <c r="L135" i="12"/>
  <c r="J76" i="12"/>
  <c r="L96" i="12"/>
  <c r="J120" i="12"/>
  <c r="L154" i="12"/>
  <c r="J142" i="12"/>
  <c r="L90" i="12"/>
  <c r="J167" i="12"/>
  <c r="L225" i="12"/>
  <c r="L182" i="12"/>
  <c r="J77" i="12"/>
  <c r="J64" i="12"/>
  <c r="J205" i="12"/>
  <c r="L76" i="12"/>
  <c r="L118" i="12"/>
  <c r="L82" i="12"/>
  <c r="J183" i="12"/>
  <c r="L158" i="12"/>
  <c r="L181" i="12"/>
  <c r="L109" i="12"/>
  <c r="J187" i="12"/>
  <c r="J218" i="12"/>
  <c r="J204" i="12"/>
  <c r="K133" i="12"/>
  <c r="L115" i="12"/>
  <c r="J88" i="12"/>
  <c r="L233" i="12"/>
  <c r="L103" i="12"/>
  <c r="L93" i="12"/>
  <c r="J157" i="12"/>
  <c r="L78" i="12"/>
  <c r="K181" i="12"/>
  <c r="J191" i="12"/>
  <c r="K157" i="12"/>
  <c r="J81" i="12"/>
  <c r="J89" i="12"/>
  <c r="K174" i="12"/>
  <c r="L133" i="12"/>
  <c r="K105" i="12"/>
  <c r="L94" i="12"/>
  <c r="K170" i="12"/>
  <c r="K222" i="12"/>
  <c r="J206" i="12"/>
  <c r="L117" i="12"/>
  <c r="K144" i="12"/>
  <c r="K142" i="12"/>
  <c r="L220" i="12"/>
  <c r="K90" i="12"/>
  <c r="J63" i="12"/>
  <c r="L91" i="12"/>
  <c r="K94" i="12"/>
  <c r="L235" i="12"/>
  <c r="K66" i="12"/>
  <c r="L183" i="12"/>
  <c r="J235" i="12"/>
  <c r="L219" i="12"/>
  <c r="J139" i="12"/>
  <c r="L92" i="12"/>
  <c r="K237" i="12"/>
  <c r="K103" i="12"/>
  <c r="L68" i="12"/>
  <c r="J113" i="12"/>
  <c r="J55" i="12"/>
  <c r="J100" i="12"/>
  <c r="J70" i="12"/>
  <c r="K79" i="12"/>
  <c r="L128" i="12"/>
  <c r="L145" i="12"/>
  <c r="J224" i="12"/>
  <c r="L77" i="12"/>
  <c r="L116" i="12"/>
  <c r="J79" i="12"/>
  <c r="K226" i="12"/>
  <c r="L210" i="12"/>
  <c r="J153" i="12"/>
  <c r="L196" i="12"/>
  <c r="J68" i="12"/>
  <c r="J128" i="12"/>
  <c r="L187" i="12"/>
  <c r="J226" i="12"/>
  <c r="J178" i="12"/>
  <c r="L119" i="12"/>
  <c r="L132" i="12"/>
  <c r="J170" i="12"/>
  <c r="J239" i="12"/>
  <c r="K233" i="12"/>
  <c r="J211" i="12"/>
  <c r="L66" i="12"/>
  <c r="K220" i="12"/>
  <c r="J127" i="12"/>
  <c r="K183" i="12"/>
  <c r="L180" i="12"/>
  <c r="J116" i="12"/>
  <c r="L130" i="12"/>
  <c r="J109" i="12"/>
  <c r="J118" i="12"/>
  <c r="L209" i="12"/>
  <c r="J180" i="12"/>
  <c r="L146" i="12"/>
  <c r="L131" i="12"/>
  <c r="K196" i="12"/>
  <c r="L63" i="12"/>
  <c r="K239" i="12"/>
  <c r="K159" i="12"/>
  <c r="L141" i="12"/>
  <c r="J168" i="12"/>
  <c r="L167" i="12"/>
  <c r="J198" i="12"/>
  <c r="J122" i="12"/>
  <c r="K198" i="12"/>
  <c r="J107" i="12"/>
  <c r="K187" i="12"/>
  <c r="L186" i="12"/>
  <c r="L129" i="12"/>
  <c r="J133" i="12"/>
  <c r="K129" i="12"/>
  <c r="L222" i="12"/>
  <c r="L69" i="12"/>
  <c r="L174" i="12"/>
  <c r="J92" i="12"/>
  <c r="K168" i="12"/>
  <c r="L107" i="12"/>
  <c r="L155" i="12"/>
  <c r="L161" i="12"/>
  <c r="K120" i="12"/>
  <c r="L156" i="12"/>
  <c r="L80" i="12"/>
  <c r="K68" i="12"/>
  <c r="L89" i="12"/>
  <c r="L200" i="12"/>
  <c r="J192" i="12"/>
  <c r="L173" i="12"/>
  <c r="L67" i="12"/>
  <c r="J209" i="12"/>
  <c r="L226" i="12"/>
  <c r="J179" i="12"/>
  <c r="K200" i="12"/>
  <c r="L160" i="12"/>
  <c r="L236" i="12"/>
  <c r="L120" i="12"/>
  <c r="L70" i="12"/>
  <c r="J165" i="12"/>
  <c r="L237" i="12"/>
  <c r="L65" i="12"/>
  <c r="L171" i="12"/>
  <c r="K83" i="12"/>
  <c r="J114" i="12"/>
  <c r="L207" i="12"/>
  <c r="L144" i="12"/>
  <c r="J166" i="12"/>
  <c r="J61" i="12"/>
  <c r="J129" i="12"/>
  <c r="L172" i="12"/>
  <c r="J237" i="12"/>
  <c r="L147" i="12"/>
  <c r="K92" i="12"/>
  <c r="L83" i="12"/>
  <c r="J101" i="12"/>
  <c r="J230" i="12"/>
  <c r="J66" i="12"/>
  <c r="L104" i="12"/>
  <c r="J161" i="12"/>
  <c r="AB43" i="13" l="1"/>
  <c r="AE43" i="13"/>
  <c r="AD43" i="13"/>
  <c r="AC43" i="13"/>
  <c r="AH42" i="13"/>
  <c r="AI42" i="13"/>
  <c r="AG42" i="13"/>
  <c r="AF42" i="13"/>
  <c r="O236" i="12"/>
  <c r="O130" i="12"/>
  <c r="O108" i="12"/>
  <c r="O154" i="12"/>
  <c r="M154" i="12"/>
  <c r="N154" i="12"/>
  <c r="O105" i="12"/>
  <c r="P142" i="12"/>
  <c r="O238" i="12"/>
  <c r="M116" i="12"/>
  <c r="N116" i="12"/>
  <c r="M167" i="12"/>
  <c r="N167" i="12"/>
  <c r="N100" i="12"/>
  <c r="M100" i="12"/>
  <c r="O198" i="12"/>
  <c r="O118" i="12"/>
  <c r="M92" i="12"/>
  <c r="N92" i="12"/>
  <c r="O143" i="12"/>
  <c r="O120" i="12"/>
  <c r="P70" i="12"/>
  <c r="N74" i="12"/>
  <c r="M74" i="12"/>
  <c r="P77" i="12"/>
  <c r="O158" i="12"/>
  <c r="P222" i="12"/>
  <c r="M198" i="12"/>
  <c r="N198" i="12"/>
  <c r="P157" i="12"/>
  <c r="O225" i="12"/>
  <c r="P194" i="12"/>
  <c r="O183" i="12"/>
  <c r="N133" i="12"/>
  <c r="M133" i="12"/>
  <c r="O64" i="12"/>
  <c r="O119" i="12"/>
  <c r="N139" i="12"/>
  <c r="M139" i="12"/>
  <c r="O93" i="12"/>
  <c r="O220" i="12"/>
  <c r="O233" i="12"/>
  <c r="P148" i="12"/>
  <c r="O180" i="12"/>
  <c r="P239" i="12"/>
  <c r="O141" i="12"/>
  <c r="O95" i="12"/>
  <c r="N183" i="12"/>
  <c r="M183" i="12"/>
  <c r="M187" i="12"/>
  <c r="N187" i="12"/>
  <c r="O66" i="12"/>
  <c r="O194" i="12"/>
  <c r="O161" i="12"/>
  <c r="O213" i="12"/>
  <c r="O69" i="12"/>
  <c r="P109" i="12"/>
  <c r="N155" i="12"/>
  <c r="M155" i="12"/>
  <c r="N206" i="12"/>
  <c r="M206" i="12"/>
  <c r="O181" i="12"/>
  <c r="O91" i="12"/>
  <c r="O82" i="12"/>
  <c r="O122" i="12"/>
  <c r="P135" i="12"/>
  <c r="O134" i="12"/>
  <c r="O107" i="12"/>
  <c r="O197" i="12"/>
  <c r="N87" i="12"/>
  <c r="M87" i="12"/>
  <c r="O78" i="12"/>
  <c r="P92" i="12"/>
  <c r="O195" i="12"/>
  <c r="O117" i="12"/>
  <c r="O184" i="12"/>
  <c r="M64" i="12"/>
  <c r="N64" i="12"/>
  <c r="N224" i="12"/>
  <c r="M224" i="12"/>
  <c r="N141" i="12"/>
  <c r="M141" i="12"/>
  <c r="O116" i="12"/>
  <c r="N153" i="12"/>
  <c r="M153" i="12"/>
  <c r="P122" i="12"/>
  <c r="O147" i="12"/>
  <c r="M196" i="12"/>
  <c r="N196" i="12"/>
  <c r="M146" i="12"/>
  <c r="N146" i="12"/>
  <c r="N140" i="12"/>
  <c r="M140" i="12"/>
  <c r="N70" i="12"/>
  <c r="M70" i="12"/>
  <c r="P235" i="12"/>
  <c r="N218" i="12"/>
  <c r="M218" i="12"/>
  <c r="P64" i="12"/>
  <c r="O222" i="12"/>
  <c r="O70" i="12"/>
  <c r="P198" i="12"/>
  <c r="M101" i="12"/>
  <c r="N101" i="12"/>
  <c r="M174" i="12"/>
  <c r="N174" i="12"/>
  <c r="P79" i="12"/>
  <c r="M152" i="12"/>
  <c r="N152" i="12"/>
  <c r="M89" i="12"/>
  <c r="N89" i="12"/>
  <c r="P129" i="12"/>
  <c r="M114" i="12"/>
  <c r="N114" i="12"/>
  <c r="O146" i="12"/>
  <c r="O206" i="12"/>
  <c r="M88" i="12"/>
  <c r="N88" i="12"/>
  <c r="N205" i="12"/>
  <c r="M205" i="12"/>
  <c r="O81" i="12"/>
  <c r="O132" i="12"/>
  <c r="M148" i="12"/>
  <c r="N148" i="12"/>
  <c r="O207" i="12"/>
  <c r="P116" i="12"/>
  <c r="N128" i="12"/>
  <c r="M128" i="12"/>
  <c r="O187" i="12"/>
  <c r="N115" i="12"/>
  <c r="M115" i="12"/>
  <c r="O199" i="12"/>
  <c r="O234" i="12"/>
  <c r="M179" i="12"/>
  <c r="N179" i="12"/>
  <c r="N230" i="12"/>
  <c r="M230" i="12"/>
  <c r="N127" i="12"/>
  <c r="M127" i="12"/>
  <c r="O94" i="12"/>
  <c r="O170" i="12"/>
  <c r="N200" i="12"/>
  <c r="M200" i="12"/>
  <c r="N63" i="12"/>
  <c r="M63" i="12"/>
  <c r="P196" i="12"/>
  <c r="O219" i="12"/>
  <c r="N62" i="12"/>
  <c r="M62" i="12"/>
  <c r="P105" i="12"/>
  <c r="M217" i="12"/>
  <c r="N217" i="12"/>
  <c r="M94" i="12"/>
  <c r="N94" i="12"/>
  <c r="P144" i="12"/>
  <c r="O174" i="12"/>
  <c r="O185" i="12"/>
  <c r="O145" i="12"/>
  <c r="O83" i="12"/>
  <c r="O157" i="12"/>
  <c r="O237" i="12"/>
  <c r="O210" i="12"/>
  <c r="P131" i="12"/>
  <c r="O226" i="12"/>
  <c r="O76" i="12"/>
  <c r="M161" i="12"/>
  <c r="N161" i="12"/>
  <c r="O89" i="12"/>
  <c r="N75" i="12"/>
  <c r="M75" i="12"/>
  <c r="M191" i="12"/>
  <c r="N191" i="12"/>
  <c r="P168" i="12"/>
  <c r="P118" i="12"/>
  <c r="O167" i="12"/>
  <c r="P187" i="12"/>
  <c r="O115" i="12"/>
  <c r="N120" i="12"/>
  <c r="M120" i="12"/>
  <c r="N107" i="12"/>
  <c r="M107" i="12"/>
  <c r="O135" i="12"/>
  <c r="M159" i="12"/>
  <c r="N159" i="12"/>
  <c r="M231" i="12"/>
  <c r="N231" i="12"/>
  <c r="O109" i="12"/>
  <c r="O182" i="12"/>
  <c r="O68" i="12"/>
  <c r="N81" i="12"/>
  <c r="M81" i="12"/>
  <c r="O106" i="12"/>
  <c r="P94" i="12"/>
  <c r="O142" i="12"/>
  <c r="O67" i="12"/>
  <c r="O96" i="12"/>
  <c r="O63" i="12"/>
  <c r="O224" i="12"/>
  <c r="M105" i="12"/>
  <c r="N105" i="12"/>
  <c r="O121" i="12"/>
  <c r="O171" i="12"/>
  <c r="N222" i="12"/>
  <c r="M222" i="12"/>
  <c r="N192" i="12"/>
  <c r="M192" i="12"/>
  <c r="N66" i="12"/>
  <c r="M66" i="12"/>
  <c r="N239" i="12"/>
  <c r="M239" i="12"/>
  <c r="P103" i="12"/>
  <c r="M219" i="12"/>
  <c r="N219" i="12"/>
  <c r="N226" i="12"/>
  <c r="M226" i="12"/>
  <c r="M211" i="12"/>
  <c r="N211" i="12"/>
  <c r="N142" i="12"/>
  <c r="M142" i="12"/>
  <c r="O159" i="12"/>
  <c r="M207" i="12"/>
  <c r="N207" i="12"/>
  <c r="N194" i="12"/>
  <c r="M194" i="12"/>
  <c r="M144" i="12"/>
  <c r="N144" i="12"/>
  <c r="O196" i="12"/>
  <c r="M233" i="12"/>
  <c r="N233" i="12"/>
  <c r="N157" i="12"/>
  <c r="M157" i="12"/>
  <c r="O65" i="12"/>
  <c r="M213" i="12"/>
  <c r="N213" i="12"/>
  <c r="P120" i="12"/>
  <c r="O169" i="12"/>
  <c r="M166" i="12"/>
  <c r="N166" i="12"/>
  <c r="O129" i="12"/>
  <c r="N135" i="12"/>
  <c r="M135" i="12"/>
  <c r="O172" i="12"/>
  <c r="P161" i="12"/>
  <c r="O212" i="12"/>
  <c r="P207" i="12"/>
  <c r="O173" i="12"/>
  <c r="M109" i="12"/>
  <c r="N109" i="12"/>
  <c r="O232" i="12"/>
  <c r="O211" i="12"/>
  <c r="M113" i="12"/>
  <c r="N113" i="12"/>
  <c r="O156" i="12"/>
  <c r="M76" i="12"/>
  <c r="N76" i="12"/>
  <c r="M129" i="12"/>
  <c r="N129" i="12"/>
  <c r="O235" i="12"/>
  <c r="M102" i="12"/>
  <c r="N102" i="12"/>
  <c r="P90" i="12"/>
  <c r="O160" i="12"/>
  <c r="N165" i="12"/>
  <c r="M165" i="12"/>
  <c r="P220" i="12"/>
  <c r="P170" i="12"/>
  <c r="P226" i="12"/>
  <c r="O155" i="12"/>
  <c r="M68" i="12"/>
  <c r="N68" i="12"/>
  <c r="N77" i="12"/>
  <c r="M77" i="12"/>
  <c r="N103" i="12"/>
  <c r="M103" i="12"/>
  <c r="N168" i="12"/>
  <c r="M168" i="12"/>
  <c r="P155" i="12"/>
  <c r="N96" i="12"/>
  <c r="M96" i="12"/>
  <c r="M181" i="12"/>
  <c r="N181" i="12"/>
  <c r="O148" i="12"/>
  <c r="N79" i="12"/>
  <c r="M79" i="12"/>
  <c r="O128" i="12"/>
  <c r="N209" i="12"/>
  <c r="M209" i="12"/>
  <c r="N220" i="12"/>
  <c r="M220" i="12"/>
  <c r="P96" i="12"/>
  <c r="O92" i="12"/>
  <c r="P181" i="12"/>
  <c r="N180" i="12"/>
  <c r="M180" i="12"/>
  <c r="O133" i="12"/>
  <c r="O102" i="12"/>
  <c r="O186" i="12"/>
  <c r="N170" i="12"/>
  <c r="M170" i="12"/>
  <c r="N235" i="12"/>
  <c r="M235" i="12"/>
  <c r="O80" i="12"/>
  <c r="M172" i="12"/>
  <c r="N172" i="12"/>
  <c r="O103" i="12"/>
  <c r="O144" i="12"/>
  <c r="M237" i="12"/>
  <c r="N237" i="12"/>
  <c r="M204" i="12"/>
  <c r="N204" i="12"/>
  <c r="P213" i="12"/>
  <c r="M126" i="12"/>
  <c r="N126" i="12"/>
  <c r="O208" i="12"/>
  <c r="O90" i="12"/>
  <c r="O79" i="12"/>
  <c r="P66" i="12"/>
  <c r="N193" i="12"/>
  <c r="M193" i="12"/>
  <c r="M118" i="12"/>
  <c r="N118" i="12"/>
  <c r="N131" i="12"/>
  <c r="M131" i="12"/>
  <c r="O209" i="12"/>
  <c r="O223" i="12"/>
  <c r="N122" i="12"/>
  <c r="M122" i="12"/>
  <c r="O104" i="12"/>
  <c r="M178" i="12"/>
  <c r="N178" i="12"/>
  <c r="M232" i="12"/>
  <c r="N232" i="12"/>
  <c r="P233" i="12"/>
  <c r="O200" i="12"/>
  <c r="O193" i="12"/>
  <c r="M185" i="12"/>
  <c r="N185" i="12"/>
  <c r="M90" i="12"/>
  <c r="N90" i="12"/>
  <c r="O77" i="12"/>
  <c r="P183" i="12"/>
  <c r="O168" i="12"/>
  <c r="N61" i="12"/>
  <c r="M61" i="12"/>
  <c r="P200" i="12"/>
  <c r="P209" i="12"/>
  <c r="O131" i="12"/>
  <c r="O221" i="12"/>
  <c r="D215" i="4"/>
  <c r="D216" i="4"/>
  <c r="D221" i="4"/>
  <c r="D218" i="4"/>
  <c r="D217" i="4"/>
  <c r="D219" i="4"/>
  <c r="D214" i="4"/>
  <c r="D220" i="4"/>
  <c r="D213" i="4"/>
  <c r="B182" i="4"/>
  <c r="B181" i="4"/>
  <c r="B179" i="4"/>
  <c r="B178" i="4"/>
  <c r="B176" i="4"/>
  <c r="B175" i="4"/>
  <c r="B173" i="4"/>
  <c r="B172" i="4"/>
  <c r="B170" i="4"/>
  <c r="B169" i="4"/>
  <c r="B167" i="4"/>
  <c r="B166" i="4"/>
  <c r="B164" i="4"/>
  <c r="B163" i="4"/>
  <c r="B161" i="4"/>
  <c r="B160" i="4"/>
  <c r="B158" i="4"/>
  <c r="B157" i="4"/>
  <c r="B155" i="4"/>
  <c r="B154" i="4"/>
  <c r="B152" i="4"/>
  <c r="B151" i="4"/>
  <c r="B149" i="4"/>
  <c r="B148" i="4"/>
  <c r="B146" i="4"/>
  <c r="B145" i="4"/>
  <c r="B140" i="4"/>
  <c r="B139" i="4"/>
  <c r="P81" i="12" s="1"/>
  <c r="B137" i="4"/>
  <c r="B136" i="4"/>
  <c r="P185" i="12" s="1"/>
  <c r="B134" i="4"/>
  <c r="B133" i="4"/>
  <c r="P211" i="12"/>
  <c r="B124" i="4"/>
  <c r="B122" i="4"/>
  <c r="P68" i="12" s="1"/>
  <c r="B121" i="4"/>
  <c r="B119" i="4"/>
  <c r="P83" i="12" s="1"/>
  <c r="B118" i="4"/>
  <c r="E40" i="13"/>
  <c r="P146" i="12" l="1"/>
  <c r="AM42" i="13"/>
  <c r="AL42" i="13"/>
  <c r="AK42" i="13"/>
  <c r="AJ42" i="13"/>
  <c r="AF43" i="13"/>
  <c r="AH43" i="13"/>
  <c r="AI43" i="13"/>
  <c r="AG43" i="13"/>
  <c r="P237" i="12"/>
  <c r="P224" i="12"/>
  <c r="P172" i="12"/>
  <c r="P133" i="12"/>
  <c r="P107" i="12"/>
  <c r="P174" i="12"/>
  <c r="P159" i="12"/>
  <c r="E23" i="13"/>
  <c r="H4" i="8"/>
  <c r="H2" i="11"/>
  <c r="I2" i="11"/>
  <c r="J2" i="11"/>
  <c r="B2" i="11"/>
  <c r="C2" i="11"/>
  <c r="D2" i="11"/>
  <c r="E2" i="11"/>
  <c r="F2" i="11"/>
  <c r="G2" i="11"/>
  <c r="A2" i="11"/>
  <c r="AA40" i="13"/>
  <c r="AD39" i="13"/>
  <c r="E37" i="13"/>
  <c r="M40" i="13"/>
  <c r="AG41" i="13"/>
  <c r="X41" i="13"/>
  <c r="AI40" i="13"/>
  <c r="N41" i="13"/>
  <c r="AH40" i="13"/>
  <c r="O38" i="13"/>
  <c r="T37" i="13"/>
  <c r="AB38" i="13"/>
  <c r="AI41" i="13"/>
  <c r="G39" i="13"/>
  <c r="Z38" i="13"/>
  <c r="E39" i="13"/>
  <c r="AE37" i="13"/>
  <c r="Z40" i="13"/>
  <c r="R37" i="13"/>
  <c r="Y38" i="13"/>
  <c r="M41" i="13"/>
  <c r="Q38" i="13"/>
  <c r="AC41" i="13"/>
  <c r="O37" i="13"/>
  <c r="AH38" i="13"/>
  <c r="L39" i="13"/>
  <c r="R41" i="13"/>
  <c r="L37" i="13"/>
  <c r="Y39" i="13"/>
  <c r="AF37" i="13"/>
  <c r="M39" i="13"/>
  <c r="Q37" i="13"/>
  <c r="I40" i="13"/>
  <c r="Y41" i="13"/>
  <c r="L41" i="13"/>
  <c r="P40" i="13"/>
  <c r="AD37" i="13"/>
  <c r="S37" i="13"/>
  <c r="I37" i="13"/>
  <c r="AA37" i="13"/>
  <c r="C40" i="13"/>
  <c r="AG39" i="13"/>
  <c r="T39" i="13"/>
  <c r="X40" i="13"/>
  <c r="S40" i="13"/>
  <c r="L40" i="13"/>
  <c r="C39" i="13"/>
  <c r="M38" i="13"/>
  <c r="G41" i="13"/>
  <c r="T40" i="13"/>
  <c r="R38" i="13"/>
  <c r="R39" i="13"/>
  <c r="V38" i="13"/>
  <c r="C38" i="13"/>
  <c r="AB40" i="13"/>
  <c r="D40" i="13"/>
  <c r="P39" i="13"/>
  <c r="L38" i="13"/>
  <c r="W37" i="13"/>
  <c r="X37" i="13"/>
  <c r="H38" i="13"/>
  <c r="AH39" i="13"/>
  <c r="J39" i="13"/>
  <c r="V39" i="13"/>
  <c r="E41" i="13"/>
  <c r="Q39" i="13"/>
  <c r="N37" i="13"/>
  <c r="H39" i="13"/>
  <c r="AE39" i="13"/>
  <c r="W40" i="13"/>
  <c r="C37" i="13"/>
  <c r="V37" i="13"/>
  <c r="I41" i="13"/>
  <c r="K39" i="13"/>
  <c r="AG38" i="13"/>
  <c r="H41" i="13"/>
  <c r="R40" i="13"/>
  <c r="G37" i="13"/>
  <c r="D41" i="13"/>
  <c r="F38" i="13"/>
  <c r="AB41" i="13"/>
  <c r="U40" i="13"/>
  <c r="V40" i="13"/>
  <c r="H40" i="13"/>
  <c r="N39" i="13"/>
  <c r="U39" i="13"/>
  <c r="Q40" i="13"/>
  <c r="AG40" i="13"/>
  <c r="W39" i="13"/>
  <c r="H37" i="13"/>
  <c r="J83" i="12"/>
  <c r="AA41" i="13"/>
  <c r="O41" i="13"/>
  <c r="AD38" i="13"/>
  <c r="W38" i="13"/>
  <c r="AE40" i="13"/>
  <c r="AC39" i="13"/>
  <c r="AC38" i="13"/>
  <c r="AB39" i="13"/>
  <c r="AF39" i="13"/>
  <c r="L239" i="12"/>
  <c r="O40" i="13"/>
  <c r="M37" i="13"/>
  <c r="N38" i="13"/>
  <c r="AI38" i="13"/>
  <c r="D37" i="13"/>
  <c r="AG37" i="13"/>
  <c r="J60" i="7"/>
  <c r="AA39" i="13"/>
  <c r="K37" i="13"/>
  <c r="AC40" i="13"/>
  <c r="AD41" i="13"/>
  <c r="AC37" i="13"/>
  <c r="Y40" i="13"/>
  <c r="AI37" i="13"/>
  <c r="K38" i="13"/>
  <c r="G40" i="13"/>
  <c r="W41" i="13"/>
  <c r="AE38" i="13"/>
  <c r="F37" i="13"/>
  <c r="U41" i="13"/>
  <c r="S39" i="13"/>
  <c r="I38" i="13"/>
  <c r="G38" i="13"/>
  <c r="AH41" i="13"/>
  <c r="P41" i="13"/>
  <c r="AI39" i="13"/>
  <c r="J40" i="13"/>
  <c r="Q41" i="13"/>
  <c r="T38" i="13"/>
  <c r="N40" i="13"/>
  <c r="V41" i="13"/>
  <c r="O39" i="13"/>
  <c r="K40" i="13"/>
  <c r="AA38" i="13"/>
  <c r="Z41" i="13"/>
  <c r="F40" i="13"/>
  <c r="J41" i="13"/>
  <c r="F39" i="13"/>
  <c r="C41" i="13"/>
  <c r="AB37" i="13"/>
  <c r="AH37" i="13"/>
  <c r="X39" i="13"/>
  <c r="AE41" i="13"/>
  <c r="K41" i="13"/>
  <c r="AD40" i="13"/>
  <c r="F41" i="13"/>
  <c r="Z39" i="13"/>
  <c r="S38" i="13"/>
  <c r="AF40" i="13"/>
  <c r="S41" i="13"/>
  <c r="Z37" i="13"/>
  <c r="Y37" i="13"/>
  <c r="T41" i="13"/>
  <c r="U38" i="13"/>
  <c r="U37" i="13"/>
  <c r="D38" i="13"/>
  <c r="AF38" i="13"/>
  <c r="D39" i="13"/>
  <c r="P37" i="13"/>
  <c r="I39" i="13"/>
  <c r="AF41" i="13"/>
  <c r="E38" i="13"/>
  <c r="P38" i="13"/>
  <c r="X38" i="13"/>
  <c r="AJ43" i="13" l="1"/>
  <c r="AM43" i="13"/>
  <c r="AL43" i="13"/>
  <c r="AK43" i="13"/>
  <c r="AP42" i="13"/>
  <c r="AQ42" i="13"/>
  <c r="AN42" i="13"/>
  <c r="AO42" i="13"/>
  <c r="S24" i="13"/>
  <c r="G44" i="13" s="1"/>
  <c r="AA24" i="13"/>
  <c r="I44" i="13" s="1"/>
  <c r="W24" i="13"/>
  <c r="H44" i="13" s="1"/>
  <c r="AE24" i="13"/>
  <c r="J44" i="13" s="1"/>
  <c r="G24" i="13"/>
  <c r="D44" i="13" s="1"/>
  <c r="K24" i="13"/>
  <c r="E44" i="13" s="1"/>
  <c r="O24" i="13"/>
  <c r="F44" i="13" s="1"/>
  <c r="C24" i="13"/>
  <c r="C44" i="13" s="1"/>
  <c r="C23" i="13"/>
  <c r="AA8" i="13"/>
  <c r="AC9" i="13"/>
  <c r="J23" i="13"/>
  <c r="AH9" i="13"/>
  <c r="S23" i="13"/>
  <c r="AG22" i="13"/>
  <c r="AH8" i="13"/>
  <c r="R23" i="13"/>
  <c r="AG8" i="13"/>
  <c r="AI8" i="13"/>
  <c r="Z23" i="13"/>
  <c r="AD8" i="13"/>
  <c r="AA23" i="13"/>
  <c r="K23" i="13"/>
  <c r="AH23" i="13"/>
  <c r="F23" i="13"/>
  <c r="N23" i="13"/>
  <c r="AD23" i="13"/>
  <c r="H23" i="13"/>
  <c r="V23" i="13"/>
  <c r="AH22" i="13"/>
  <c r="AI9" i="13"/>
  <c r="T23" i="13"/>
  <c r="AC22" i="13"/>
  <c r="C22" i="13"/>
  <c r="AD22" i="13"/>
  <c r="AC23" i="13"/>
  <c r="L23" i="13"/>
  <c r="M23" i="13"/>
  <c r="AF23" i="13"/>
  <c r="P23" i="13"/>
  <c r="Q23" i="13"/>
  <c r="O239" i="12"/>
  <c r="AF8" i="13"/>
  <c r="Y23" i="13"/>
  <c r="X23" i="13"/>
  <c r="W23" i="13"/>
  <c r="AG23" i="13"/>
  <c r="AF9" i="13"/>
  <c r="AF22" i="13"/>
  <c r="AE8" i="13"/>
  <c r="AE23" i="13"/>
  <c r="AI22" i="13"/>
  <c r="G23" i="13"/>
  <c r="O23" i="13"/>
  <c r="I23" i="13"/>
  <c r="AA9" i="13"/>
  <c r="AB8" i="13"/>
  <c r="AB9" i="13"/>
  <c r="AI23" i="13"/>
  <c r="AB22" i="13"/>
  <c r="AG9" i="13"/>
  <c r="AB23" i="13"/>
  <c r="AE9" i="13"/>
  <c r="AE22" i="13"/>
  <c r="AC8" i="13"/>
  <c r="U23" i="13"/>
  <c r="N83" i="12"/>
  <c r="M83" i="12"/>
  <c r="AA22" i="13"/>
  <c r="AD9" i="13"/>
  <c r="O4" i="8"/>
  <c r="X4" i="8" s="1"/>
  <c r="A3" i="8"/>
  <c r="J63" i="7"/>
  <c r="J37" i="13"/>
  <c r="J38" i="13"/>
  <c r="AU42" i="13" l="1"/>
  <c r="AT42" i="13"/>
  <c r="AS42" i="13"/>
  <c r="AR42" i="13"/>
  <c r="AN43" i="13"/>
  <c r="AP43" i="13"/>
  <c r="AQ43" i="13"/>
  <c r="AO43" i="13"/>
  <c r="W4" i="8"/>
  <c r="AM39" i="13"/>
  <c r="AJ41" i="13"/>
  <c r="AK40" i="13"/>
  <c r="AL40" i="13"/>
  <c r="AM38" i="13"/>
  <c r="AN40" i="13"/>
  <c r="AP39" i="13"/>
  <c r="AL37" i="13"/>
  <c r="AO41" i="13"/>
  <c r="AP38" i="13"/>
  <c r="AJ38" i="13"/>
  <c r="AJ40" i="13"/>
  <c r="AK39" i="13"/>
  <c r="AM41" i="13"/>
  <c r="J68" i="7"/>
  <c r="AK41" i="13"/>
  <c r="AL39" i="13"/>
  <c r="AP41" i="13"/>
  <c r="AK37" i="13"/>
  <c r="AQ41" i="13"/>
  <c r="AM37" i="13"/>
  <c r="AL41" i="13"/>
  <c r="AQ38" i="13"/>
  <c r="AK38" i="13"/>
  <c r="AP40" i="13"/>
  <c r="AL38" i="13"/>
  <c r="AJ37" i="13"/>
  <c r="AM40" i="13"/>
  <c r="AJ39" i="13"/>
  <c r="L98" i="7"/>
  <c r="AP23" i="13" l="1"/>
  <c r="AN23" i="13"/>
  <c r="AJ23" i="13"/>
  <c r="AI24" i="13"/>
  <c r="K44" i="13" s="1"/>
  <c r="AL8" i="13"/>
  <c r="AL9" i="13"/>
  <c r="AP22" i="13"/>
  <c r="AM9" i="13"/>
  <c r="AK22" i="13"/>
  <c r="AP9" i="13"/>
  <c r="AM8" i="13"/>
  <c r="AQ9" i="13"/>
  <c r="AL23" i="13"/>
  <c r="AK9" i="13"/>
  <c r="AK23" i="13"/>
  <c r="AJ22" i="13"/>
  <c r="AJ8" i="13"/>
  <c r="AM23" i="13"/>
  <c r="AJ9" i="13"/>
  <c r="AM22" i="13"/>
  <c r="AL22" i="13"/>
  <c r="AK8" i="13"/>
  <c r="AR43" i="13"/>
  <c r="AU43" i="13"/>
  <c r="AT43" i="13"/>
  <c r="AS43" i="13"/>
  <c r="AX42" i="13"/>
  <c r="AY42" i="13"/>
  <c r="AW42" i="13"/>
  <c r="AV42" i="13"/>
  <c r="O98" i="7"/>
  <c r="AP37" i="13"/>
  <c r="AN38" i="13"/>
  <c r="AN37" i="13"/>
  <c r="AO38" i="13"/>
  <c r="AR40" i="13"/>
  <c r="AU38" i="13"/>
  <c r="AT37" i="13"/>
  <c r="AT40" i="13"/>
  <c r="AO40" i="13"/>
  <c r="AU39" i="13"/>
  <c r="AU37" i="13"/>
  <c r="AN39" i="13"/>
  <c r="AS41" i="13"/>
  <c r="AU40" i="13"/>
  <c r="AS38" i="13"/>
  <c r="AQ37" i="13"/>
  <c r="AS39" i="13"/>
  <c r="AQ40" i="13"/>
  <c r="AO39" i="13"/>
  <c r="AR37" i="13"/>
  <c r="AS37" i="13"/>
  <c r="AS40" i="13"/>
  <c r="AT38" i="13"/>
  <c r="AT41" i="13"/>
  <c r="AO37" i="13"/>
  <c r="AQ39" i="13"/>
  <c r="AN41" i="13"/>
  <c r="AU41" i="13"/>
  <c r="AT39" i="13"/>
  <c r="L67" i="7"/>
  <c r="AR8" i="13" l="1"/>
  <c r="AS8" i="13"/>
  <c r="AO23" i="13"/>
  <c r="AU8" i="13"/>
  <c r="AO22" i="13"/>
  <c r="AN22" i="13"/>
  <c r="AN9" i="13"/>
  <c r="AU23" i="13"/>
  <c r="AU22" i="13"/>
  <c r="AM24" i="13"/>
  <c r="L44" i="13" s="1"/>
  <c r="AT9" i="13"/>
  <c r="AN8" i="13"/>
  <c r="AS9" i="13"/>
  <c r="AQ23" i="13"/>
  <c r="AT22" i="13"/>
  <c r="AT23" i="13"/>
  <c r="AS22" i="13"/>
  <c r="AR23" i="13"/>
  <c r="AQ22" i="13"/>
  <c r="AU9" i="13"/>
  <c r="AQ8" i="13"/>
  <c r="AT8" i="13"/>
  <c r="AO8" i="13"/>
  <c r="AS23" i="13"/>
  <c r="AO9" i="13"/>
  <c r="AP8" i="13"/>
  <c r="BC42" i="13"/>
  <c r="BB42" i="13"/>
  <c r="BA42" i="13"/>
  <c r="AZ42" i="13"/>
  <c r="AV43" i="13"/>
  <c r="AX43" i="13"/>
  <c r="AY43" i="13"/>
  <c r="AW43" i="13"/>
  <c r="O67" i="7"/>
  <c r="AR41" i="13"/>
  <c r="AY41" i="13"/>
  <c r="AV37" i="13"/>
  <c r="AR39" i="13"/>
  <c r="AV39" i="13"/>
  <c r="AW37" i="13"/>
  <c r="AW39" i="13"/>
  <c r="AV40" i="13"/>
  <c r="AV41" i="13"/>
  <c r="AX39" i="13"/>
  <c r="AR38" i="13"/>
  <c r="AV38" i="13"/>
  <c r="AW38" i="13"/>
  <c r="AW40" i="13"/>
  <c r="AW41" i="13"/>
  <c r="L83" i="7"/>
  <c r="L90" i="7"/>
  <c r="O90" i="7" l="1"/>
  <c r="L77" i="7"/>
  <c r="O83" i="7" l="1"/>
  <c r="AX22" i="13"/>
  <c r="AW8" i="13"/>
  <c r="AV23" i="13"/>
  <c r="AR9" i="13"/>
  <c r="AV22" i="13"/>
  <c r="AQ24" i="13"/>
  <c r="M44" i="13" s="1"/>
  <c r="AW9" i="13"/>
  <c r="AW22" i="13"/>
  <c r="AW23" i="13"/>
  <c r="AV9" i="13"/>
  <c r="AV8" i="13"/>
  <c r="AR22" i="13"/>
  <c r="BF42" i="13"/>
  <c r="BE42" i="13"/>
  <c r="BD42" i="13"/>
  <c r="AZ43" i="13"/>
  <c r="BC43" i="13"/>
  <c r="BB43" i="13"/>
  <c r="BA43" i="13"/>
  <c r="O77" i="7"/>
  <c r="AZ41" i="13"/>
  <c r="AY40" i="13"/>
  <c r="BB41" i="13"/>
  <c r="BA40" i="13"/>
  <c r="J58" i="7"/>
  <c r="AX41" i="13"/>
  <c r="AY39" i="13"/>
  <c r="L78" i="7"/>
  <c r="L85" i="7"/>
  <c r="AX40" i="13"/>
  <c r="AX38" i="13"/>
  <c r="BA38" i="13"/>
  <c r="AZ39" i="13"/>
  <c r="L73" i="7"/>
  <c r="AX37" i="13"/>
  <c r="BB38" i="13"/>
  <c r="L89" i="7"/>
  <c r="BC40" i="13"/>
  <c r="BC37" i="13"/>
  <c r="BB37" i="13"/>
  <c r="BB39" i="13"/>
  <c r="L80" i="7"/>
  <c r="BA37" i="13"/>
  <c r="AY37" i="13"/>
  <c r="BA41" i="13"/>
  <c r="AZ38" i="13"/>
  <c r="AZ40" i="13"/>
  <c r="BB40" i="13"/>
  <c r="AZ37" i="13"/>
  <c r="BA39" i="13"/>
  <c r="L96" i="7"/>
  <c r="AY38" i="13"/>
  <c r="AZ23" i="13" l="1"/>
  <c r="BB23" i="13"/>
  <c r="BC8" i="13"/>
  <c r="AY23" i="13"/>
  <c r="BA9" i="13"/>
  <c r="AX9" i="13"/>
  <c r="AY9" i="13"/>
  <c r="BB8" i="13"/>
  <c r="BA23" i="13"/>
  <c r="AZ9" i="13"/>
  <c r="AZ8" i="13"/>
  <c r="BC23" i="13"/>
  <c r="AX8" i="13"/>
  <c r="BA8" i="13"/>
  <c r="AY22" i="13"/>
  <c r="AZ22" i="13"/>
  <c r="AY8" i="13"/>
  <c r="BB9" i="13"/>
  <c r="BB22" i="13"/>
  <c r="BA22" i="13"/>
  <c r="AX23" i="13"/>
  <c r="AY24" i="13"/>
  <c r="O44" i="13" s="1"/>
  <c r="AU24" i="13"/>
  <c r="N44" i="13" s="1"/>
  <c r="BD43" i="13"/>
  <c r="BF43" i="13"/>
  <c r="BE43" i="13"/>
  <c r="O89" i="7"/>
  <c r="O73" i="7"/>
  <c r="O96" i="7"/>
  <c r="O78" i="7"/>
  <c r="O85" i="7"/>
  <c r="O80" i="7"/>
  <c r="L75" i="7"/>
  <c r="BF40" i="13"/>
  <c r="BF39" i="13"/>
  <c r="K102" i="7"/>
  <c r="BC38" i="13"/>
  <c r="J76" i="7"/>
  <c r="O75" i="7" l="1"/>
  <c r="J59" i="7"/>
  <c r="K110" i="7"/>
  <c r="L106" i="7"/>
  <c r="BC41" i="13"/>
  <c r="J53" i="7"/>
  <c r="BD40" i="13"/>
  <c r="L104" i="7"/>
  <c r="J56" i="7"/>
  <c r="L76" i="7"/>
  <c r="BC39" i="13"/>
  <c r="K80" i="7"/>
  <c r="BD41" i="13"/>
  <c r="BF41" i="13"/>
  <c r="BF38" i="13"/>
  <c r="L82" i="7"/>
  <c r="BD37" i="13"/>
  <c r="BE37" i="13"/>
  <c r="L74" i="7"/>
  <c r="BD8" i="13" l="1"/>
  <c r="BE8" i="13"/>
  <c r="BF9" i="13"/>
  <c r="BF23" i="13"/>
  <c r="BD23" i="13"/>
  <c r="BF22" i="13"/>
  <c r="BC22" i="13"/>
  <c r="BC9" i="13"/>
  <c r="O106" i="7"/>
  <c r="O82" i="7"/>
  <c r="S4" i="8"/>
  <c r="K4" i="8"/>
  <c r="A2" i="8"/>
  <c r="A2" i="13"/>
  <c r="C4" i="8"/>
  <c r="O104" i="7"/>
  <c r="O74" i="7"/>
  <c r="O76" i="7"/>
  <c r="BE41" i="13"/>
  <c r="K70" i="7"/>
  <c r="BE38" i="13"/>
  <c r="L114" i="7"/>
  <c r="K92" i="7"/>
  <c r="L107" i="7"/>
  <c r="BF37" i="13"/>
  <c r="BD38" i="13"/>
  <c r="J61" i="7"/>
  <c r="L93" i="7"/>
  <c r="J55" i="7"/>
  <c r="BE40" i="13"/>
  <c r="BD39" i="13"/>
  <c r="L101" i="7"/>
  <c r="BE39" i="13"/>
  <c r="BE23" i="13" l="1"/>
  <c r="BF8" i="13"/>
  <c r="BE22" i="13"/>
  <c r="BD9" i="13"/>
  <c r="BC24" i="13"/>
  <c r="P44" i="13" s="1"/>
  <c r="BD22" i="13"/>
  <c r="BE9" i="13"/>
  <c r="O101" i="7"/>
  <c r="O114" i="7"/>
  <c r="O107" i="7"/>
  <c r="O93" i="7"/>
  <c r="L81" i="7"/>
  <c r="L99" i="7"/>
  <c r="L84" i="7"/>
  <c r="K114" i="7"/>
  <c r="L109" i="7"/>
  <c r="J54" i="7"/>
  <c r="J104" i="7"/>
  <c r="L108" i="7"/>
  <c r="J52" i="7"/>
  <c r="L95" i="7"/>
  <c r="K112" i="7"/>
  <c r="O109" i="7" l="1"/>
  <c r="A1" i="8"/>
  <c r="A1" i="13"/>
  <c r="O84" i="7"/>
  <c r="K100" i="7"/>
  <c r="L69" i="7"/>
  <c r="L102" i="7"/>
  <c r="J110" i="7"/>
  <c r="L91" i="7"/>
  <c r="O69" i="7" l="1"/>
  <c r="O99" i="7"/>
  <c r="O95" i="7"/>
  <c r="O108" i="7"/>
  <c r="O91" i="7"/>
  <c r="K78" i="7"/>
  <c r="K88" i="7"/>
  <c r="J84" i="7"/>
  <c r="L70" i="7"/>
  <c r="K90" i="7"/>
  <c r="K68" i="7"/>
  <c r="J92" i="7"/>
  <c r="J96" i="7"/>
  <c r="K84" i="7"/>
  <c r="J72" i="7"/>
  <c r="K82" i="7"/>
  <c r="J114" i="7"/>
  <c r="K94" i="7"/>
  <c r="J80" i="7"/>
  <c r="J106" i="7"/>
  <c r="J86" i="7"/>
  <c r="L100" i="7"/>
  <c r="L94" i="7"/>
  <c r="K106" i="7"/>
  <c r="O22" i="13" l="1"/>
  <c r="X22" i="13"/>
  <c r="P22" i="13"/>
  <c r="T22" i="13"/>
  <c r="L22" i="13"/>
  <c r="W22" i="13"/>
  <c r="S22" i="13"/>
  <c r="Q22" i="13"/>
  <c r="N22" i="13"/>
  <c r="K22" i="13"/>
  <c r="N106" i="7"/>
  <c r="N104" i="7"/>
  <c r="N110" i="7"/>
  <c r="N96" i="7"/>
  <c r="W39" i="8"/>
  <c r="W22" i="8" s="1"/>
  <c r="N39" i="8"/>
  <c r="N22" i="8" s="1"/>
  <c r="P39" i="8"/>
  <c r="P22" i="8" s="1"/>
  <c r="O39" i="8"/>
  <c r="O22" i="8" s="1"/>
  <c r="S39" i="8"/>
  <c r="S22" i="8" s="1"/>
  <c r="D22" i="13"/>
  <c r="C39" i="8"/>
  <c r="C22" i="8" s="1"/>
  <c r="F39" i="8"/>
  <c r="F22" i="8" s="1"/>
  <c r="K39" i="8"/>
  <c r="K22" i="8" s="1"/>
  <c r="G39" i="8"/>
  <c r="G22" i="8" s="1"/>
  <c r="O100" i="7"/>
  <c r="R40" i="8" s="1"/>
  <c r="R23" i="8" s="1"/>
  <c r="O102" i="7"/>
  <c r="O70" i="7"/>
  <c r="O94" i="7"/>
  <c r="O81" i="7"/>
  <c r="P84" i="7"/>
  <c r="P92" i="7"/>
  <c r="P114" i="7"/>
  <c r="P112" i="7"/>
  <c r="P106" i="7"/>
  <c r="P90" i="7"/>
  <c r="P88" i="7"/>
  <c r="P102" i="7"/>
  <c r="P94" i="7"/>
  <c r="P110" i="7"/>
  <c r="P100" i="7"/>
  <c r="P80" i="7"/>
  <c r="P68" i="7"/>
  <c r="P78" i="7"/>
  <c r="P82" i="7"/>
  <c r="P70" i="7"/>
  <c r="M68" i="7"/>
  <c r="P4" i="8"/>
  <c r="L105" i="7"/>
  <c r="K96" i="7"/>
  <c r="O105" i="7" l="1"/>
  <c r="L110" i="7"/>
  <c r="J112" i="7"/>
  <c r="K104" i="7"/>
  <c r="K86" i="7"/>
  <c r="O110" i="7" l="1"/>
  <c r="J70" i="7"/>
  <c r="J94" i="7"/>
  <c r="V22" i="13" l="1"/>
  <c r="M41" i="8"/>
  <c r="U22" i="13"/>
  <c r="Z22" i="13"/>
  <c r="Y22" i="13"/>
  <c r="N112" i="7"/>
  <c r="N94" i="7"/>
  <c r="L103" i="7"/>
  <c r="L88" i="7"/>
  <c r="J74" i="7"/>
  <c r="L113" i="7"/>
  <c r="L71" i="7"/>
  <c r="L111" i="7"/>
  <c r="L72" i="7"/>
  <c r="L112" i="7"/>
  <c r="L86" i="7"/>
  <c r="L92" i="7"/>
  <c r="J57" i="7"/>
  <c r="O92" i="7" l="1"/>
  <c r="O40" i="8" s="1"/>
  <c r="O71" i="7"/>
  <c r="D39" i="8" s="1"/>
  <c r="D22" i="8" s="1"/>
  <c r="O113" i="7"/>
  <c r="O72" i="7"/>
  <c r="O111" i="7"/>
  <c r="X39" i="8" s="1"/>
  <c r="X22" i="8" s="1"/>
  <c r="O88" i="7"/>
  <c r="O86" i="7"/>
  <c r="K40" i="8" s="1"/>
  <c r="O112" i="7"/>
  <c r="O103" i="7"/>
  <c r="T39" i="8" s="1"/>
  <c r="T22" i="8" s="1"/>
  <c r="E22" i="13"/>
  <c r="K72" i="7"/>
  <c r="J98" i="7"/>
  <c r="J90" i="7"/>
  <c r="J82" i="7"/>
  <c r="K76" i="7"/>
  <c r="J108" i="7"/>
  <c r="J100" i="7"/>
  <c r="J102" i="7"/>
  <c r="K74" i="7"/>
  <c r="L68" i="7"/>
  <c r="K98" i="7"/>
  <c r="K108" i="7"/>
  <c r="O68" i="7" l="1"/>
  <c r="J88" i="7"/>
  <c r="J78" i="7"/>
  <c r="N102" i="7" l="1"/>
  <c r="N100" i="7"/>
  <c r="N108" i="7"/>
  <c r="N98" i="7"/>
  <c r="I22" i="13"/>
  <c r="H22" i="13"/>
  <c r="G22" i="13"/>
  <c r="C8" i="13"/>
  <c r="D23" i="13"/>
  <c r="J39" i="8"/>
  <c r="J22" i="8" s="1"/>
  <c r="F22" i="13"/>
  <c r="V39" i="8"/>
  <c r="V22" i="8" s="1"/>
  <c r="E39" i="8"/>
  <c r="E22" i="8" s="1"/>
  <c r="Z39" i="8"/>
  <c r="Z22" i="8" s="1"/>
  <c r="U39" i="8"/>
  <c r="U22" i="8" s="1"/>
  <c r="Y39" i="8"/>
  <c r="Y22" i="8" s="1"/>
  <c r="J22" i="13"/>
  <c r="P96" i="7"/>
  <c r="P86" i="7"/>
  <c r="P108" i="7"/>
  <c r="P98" i="7"/>
  <c r="P104" i="7"/>
  <c r="P74" i="7"/>
  <c r="P72" i="7"/>
  <c r="P76" i="7"/>
  <c r="M84" i="7"/>
  <c r="K23" i="8"/>
  <c r="M86" i="7"/>
  <c r="L40" i="8"/>
  <c r="L23" i="8" s="1"/>
  <c r="M88" i="7"/>
  <c r="M40" i="8"/>
  <c r="M23" i="8" s="1"/>
  <c r="M90" i="7"/>
  <c r="N40" i="8"/>
  <c r="N23" i="8" s="1"/>
  <c r="M92" i="7"/>
  <c r="O23" i="8"/>
  <c r="M94" i="7"/>
  <c r="P40" i="8"/>
  <c r="P23" i="8" s="1"/>
  <c r="M96" i="7"/>
  <c r="Q40" i="8"/>
  <c r="Q23" i="8" s="1"/>
  <c r="M98" i="7"/>
  <c r="M100" i="7"/>
  <c r="S40" i="8"/>
  <c r="S23" i="8" s="1"/>
  <c r="M102" i="7"/>
  <c r="T40" i="8"/>
  <c r="T23" i="8" s="1"/>
  <c r="M104" i="7"/>
  <c r="U40" i="8"/>
  <c r="U23" i="8" s="1"/>
  <c r="M106" i="7"/>
  <c r="V40" i="8"/>
  <c r="V23" i="8" s="1"/>
  <c r="M108" i="7"/>
  <c r="W40" i="8"/>
  <c r="W23" i="8" s="1"/>
  <c r="M110" i="7"/>
  <c r="X40" i="8"/>
  <c r="X23" i="8" s="1"/>
  <c r="M112" i="7"/>
  <c r="Y41" i="8"/>
  <c r="Y40" i="8"/>
  <c r="Y23" i="8" s="1"/>
  <c r="M114" i="7"/>
  <c r="Z40" i="8"/>
  <c r="Z23" i="8" s="1"/>
  <c r="M70" i="7"/>
  <c r="D40" i="8"/>
  <c r="D23" i="8" s="1"/>
  <c r="M72" i="7"/>
  <c r="E40" i="8"/>
  <c r="E23" i="8" s="1"/>
  <c r="M74" i="7"/>
  <c r="F40" i="8"/>
  <c r="F23" i="8" s="1"/>
  <c r="N76" i="7"/>
  <c r="G40" i="8"/>
  <c r="G23" i="8" s="1"/>
  <c r="M78" i="7"/>
  <c r="H40" i="8"/>
  <c r="H23" i="8" s="1"/>
  <c r="M80" i="7"/>
  <c r="I40" i="8"/>
  <c r="I23" i="8" s="1"/>
  <c r="M82" i="7"/>
  <c r="J41" i="8"/>
  <c r="J40" i="8"/>
  <c r="J23" i="8" s="1"/>
  <c r="C40" i="8"/>
  <c r="C23" i="8" s="1"/>
  <c r="C41" i="8"/>
  <c r="D41" i="8"/>
  <c r="H41" i="8"/>
  <c r="I41" i="8"/>
  <c r="K41" i="8"/>
  <c r="N41" i="8"/>
  <c r="O41" i="8"/>
  <c r="P41" i="8"/>
  <c r="S41" i="8"/>
  <c r="T41" i="8"/>
  <c r="V41" i="8"/>
  <c r="X41" i="8"/>
  <c r="Z41" i="8"/>
  <c r="L87" i="7"/>
  <c r="L97" i="7"/>
  <c r="L79" i="7"/>
  <c r="O79" i="7" l="1"/>
  <c r="I39" i="8" s="1"/>
  <c r="I22" i="8" s="1"/>
  <c r="H39" i="8"/>
  <c r="H22" i="8" s="1"/>
  <c r="O97" i="7"/>
  <c r="O87" i="7"/>
  <c r="P8" i="13"/>
  <c r="X8" i="13"/>
  <c r="V8" i="13"/>
  <c r="T8" i="13"/>
  <c r="Q8" i="13"/>
  <c r="O8" i="13"/>
  <c r="M8" i="13"/>
  <c r="K8" i="13"/>
  <c r="Y8" i="13"/>
  <c r="W8" i="13"/>
  <c r="U8" i="13"/>
  <c r="S8" i="13"/>
  <c r="R22" i="13"/>
  <c r="E8" i="13"/>
  <c r="R8" i="13"/>
  <c r="N8" i="13"/>
  <c r="L8" i="13"/>
  <c r="M22" i="13"/>
  <c r="Z8" i="13"/>
  <c r="D8" i="13"/>
  <c r="T37" i="8"/>
  <c r="H37" i="8"/>
  <c r="Q37" i="8"/>
  <c r="O37" i="8"/>
  <c r="M37" i="8"/>
  <c r="K37" i="8"/>
  <c r="U41" i="8"/>
  <c r="Q41" i="8"/>
  <c r="V37" i="8"/>
  <c r="F41" i="8"/>
  <c r="L41" i="8"/>
  <c r="J37" i="8"/>
  <c r="Y37" i="8"/>
  <c r="W37" i="8"/>
  <c r="U37" i="8"/>
  <c r="S37" i="8"/>
  <c r="G41" i="8"/>
  <c r="R41" i="8"/>
  <c r="X37" i="8"/>
  <c r="I37" i="8"/>
  <c r="E37" i="8"/>
  <c r="Z37" i="8"/>
  <c r="R37" i="8"/>
  <c r="J8" i="13"/>
  <c r="P37" i="8"/>
  <c r="I8" i="13"/>
  <c r="N37" i="8"/>
  <c r="L37" i="8"/>
  <c r="H8" i="13"/>
  <c r="E41" i="8"/>
  <c r="W41" i="8"/>
  <c r="C37" i="8"/>
  <c r="D37" i="8"/>
  <c r="G38" i="8"/>
  <c r="G9" i="8" s="1"/>
  <c r="N82" i="7"/>
  <c r="M76" i="7"/>
  <c r="F37" i="8" s="1"/>
  <c r="N78" i="7"/>
  <c r="N74" i="7"/>
  <c r="N84" i="7"/>
  <c r="N70" i="7"/>
  <c r="N80" i="7"/>
  <c r="N68" i="7"/>
  <c r="N72" i="7"/>
  <c r="N114" i="7"/>
  <c r="Y9" i="13"/>
  <c r="X9" i="13"/>
  <c r="W9" i="13"/>
  <c r="V9" i="13"/>
  <c r="U9" i="13"/>
  <c r="T9" i="13"/>
  <c r="S9" i="13"/>
  <c r="R9" i="13"/>
  <c r="Q9" i="13"/>
  <c r="P9" i="13"/>
  <c r="N92" i="7"/>
  <c r="N90" i="7"/>
  <c r="N88" i="7"/>
  <c r="N86" i="7"/>
  <c r="M39" i="8" l="1"/>
  <c r="M22" i="8" s="1"/>
  <c r="L39" i="8"/>
  <c r="L22" i="8" s="1"/>
  <c r="R39" i="8"/>
  <c r="R22" i="8" s="1"/>
  <c r="Q39" i="8"/>
  <c r="Q22" i="8" s="1"/>
  <c r="E43" i="8"/>
  <c r="D43" i="8"/>
  <c r="C43" i="8"/>
  <c r="D8" i="8"/>
  <c r="D34" i="8"/>
  <c r="P8" i="8"/>
  <c r="P34" i="8"/>
  <c r="Y8" i="8"/>
  <c r="Y34" i="8"/>
  <c r="L8" i="8"/>
  <c r="L34" i="8"/>
  <c r="I8" i="8"/>
  <c r="I34" i="8"/>
  <c r="S8" i="8"/>
  <c r="S34" i="8"/>
  <c r="F8" i="8"/>
  <c r="F34" i="8"/>
  <c r="V8" i="8"/>
  <c r="V34" i="8"/>
  <c r="M8" i="8"/>
  <c r="M34" i="8"/>
  <c r="T8" i="8"/>
  <c r="T34" i="8"/>
  <c r="K8" i="8"/>
  <c r="K34" i="8"/>
  <c r="H8" i="8"/>
  <c r="H34" i="8"/>
  <c r="N8" i="8"/>
  <c r="N34" i="8"/>
  <c r="R8" i="8"/>
  <c r="R34" i="8"/>
  <c r="X8" i="8"/>
  <c r="X34" i="8"/>
  <c r="U8" i="8"/>
  <c r="U34" i="8"/>
  <c r="J8" i="8"/>
  <c r="J34" i="8"/>
  <c r="O8" i="8"/>
  <c r="O34" i="8"/>
  <c r="E8" i="8"/>
  <c r="E34" i="8"/>
  <c r="Z8" i="8"/>
  <c r="Z34" i="8"/>
  <c r="W8" i="8"/>
  <c r="W34" i="8"/>
  <c r="Q8" i="8"/>
  <c r="Q34" i="8"/>
  <c r="C8" i="8"/>
  <c r="C34" i="8"/>
  <c r="N9" i="13"/>
  <c r="O9" i="13"/>
  <c r="E9" i="13"/>
  <c r="K9" i="13"/>
  <c r="L9" i="13"/>
  <c r="M9" i="13"/>
  <c r="Z9" i="13"/>
  <c r="F8" i="13"/>
  <c r="G8" i="13"/>
  <c r="F9" i="13"/>
  <c r="I9" i="13"/>
  <c r="Q38" i="8"/>
  <c r="Q9" i="8" s="1"/>
  <c r="N38" i="8"/>
  <c r="N9" i="8" s="1"/>
  <c r="R38" i="8"/>
  <c r="R9" i="8" s="1"/>
  <c r="J9" i="13"/>
  <c r="V38" i="8"/>
  <c r="V9" i="8" s="1"/>
  <c r="Z38" i="8"/>
  <c r="Z9" i="8" s="1"/>
  <c r="D38" i="8"/>
  <c r="D9" i="8" s="1"/>
  <c r="D9" i="13"/>
  <c r="G37" i="8"/>
  <c r="U38" i="8"/>
  <c r="U9" i="8" s="1"/>
  <c r="O38" i="8"/>
  <c r="O9" i="8" s="1"/>
  <c r="S38" i="8"/>
  <c r="S9" i="8" s="1"/>
  <c r="W38" i="8"/>
  <c r="W9" i="8" s="1"/>
  <c r="K38" i="8"/>
  <c r="K9" i="8" s="1"/>
  <c r="G9" i="13"/>
  <c r="M38" i="8"/>
  <c r="M9" i="8" s="1"/>
  <c r="Y38" i="8"/>
  <c r="Y9" i="8" s="1"/>
  <c r="L38" i="8"/>
  <c r="L9" i="8" s="1"/>
  <c r="H9" i="13"/>
  <c r="T38" i="8"/>
  <c r="T9" i="8" s="1"/>
  <c r="X38" i="8"/>
  <c r="X9" i="8" s="1"/>
  <c r="C38" i="8"/>
  <c r="C9" i="8" s="1"/>
  <c r="C9" i="13"/>
  <c r="P38" i="8"/>
  <c r="P9" i="8" s="1"/>
  <c r="E38" i="8"/>
  <c r="E9" i="8" s="1"/>
  <c r="F38" i="8"/>
  <c r="F9" i="8" s="1"/>
  <c r="I38" i="8"/>
  <c r="I9" i="8" s="1"/>
  <c r="H38" i="8"/>
  <c r="H9" i="8" s="1"/>
  <c r="J38" i="8"/>
  <c r="J9" i="8" s="1"/>
  <c r="G8" i="8" l="1"/>
  <c r="G34"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Marius Litvinas</author>
  </authors>
  <commentList>
    <comment ref="A1" authorId="0" shapeId="0" xr:uid="{00000000-0006-0000-0000-000001000000}">
      <text>
        <r>
          <rPr>
            <sz val="9"/>
            <color indexed="81"/>
            <rFont val="Tahoma"/>
            <family val="2"/>
            <charset val="186"/>
          </rPr>
          <t>stulpelių įterpti negalima
stulpelio plotis 8,71</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Marius Litvinas</author>
  </authors>
  <commentList>
    <comment ref="A1" authorId="0" shapeId="0" xr:uid="{00000000-0006-0000-0100-000001000000}">
      <text>
        <r>
          <rPr>
            <sz val="9"/>
            <color indexed="81"/>
            <rFont val="Tahoma"/>
            <family val="2"/>
            <charset val="186"/>
          </rPr>
          <t>stulpelių įterpti negalima
stulpelio plotis 4,00 [33 pixel]</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Ryšys" type="4" refreshedVersion="6" background="1" refreshOnLoad="1" saveData="1">
    <webPr sourceData="1" parsePre="1" consecutive="1" xl2000="1" url="https://www.gismeteo.lt/city/weekly/4202"/>
  </connection>
  <connection id="2" xr16:uid="{00000000-0015-0000-FFFF-FFFF01000000}" name="Ryšys1" type="4" refreshedVersion="6" background="1" refreshOnLoad="1" saveData="1">
    <webPr sourceData="1" parsePre="1" consecutive="1" xl2000="1" url="https://www.gismeteo.lt/city/hourly/4202/#wdaily1"/>
  </connection>
</connections>
</file>

<file path=xl/sharedStrings.xml><?xml version="1.0" encoding="utf-8"?>
<sst xmlns="http://schemas.openxmlformats.org/spreadsheetml/2006/main" count="1522" uniqueCount="390">
  <si>
    <t>orų prognozė</t>
  </si>
  <si>
    <t>Pagrindinis</t>
  </si>
  <si>
    <t>Žemėlapiai</t>
  </si>
  <si>
    <t>Orų žinios</t>
  </si>
  <si>
    <t>Žinios</t>
  </si>
  <si>
    <t>Mėnesis</t>
  </si>
  <si>
    <t>Infoblokai</t>
  </si>
  <si>
    <t>Programėlės</t>
  </si>
  <si>
    <t>°C</t>
  </si>
  <si>
    <t xml:space="preserve"> °C, m/s, mm Hg</t>
  </si>
  <si>
    <t xml:space="preserve"> °F, myl/val, in Hg</t>
  </si>
  <si>
    <t>Lietuviškai</t>
  </si>
  <si>
    <t>По-русски</t>
  </si>
  <si>
    <t>Naujienos</t>
  </si>
  <si>
    <t>www.alfa.lt</t>
  </si>
  <si>
    <t>Žinių radijas</t>
  </si>
  <si>
    <t>www.ziniuradijas.lt</t>
  </si>
  <si>
    <t>Orai</t>
  </si>
  <si>
    <t>Kaunas</t>
  </si>
  <si>
    <t>Kauno apskritis, Lietuva</t>
  </si>
  <si>
    <t>Didelis debesuotumas</t>
  </si>
  <si>
    <t>Mano miestas</t>
  </si>
  <si>
    <t>Orai Kaune</t>
  </si>
  <si>
    <t>Št</t>
  </si>
  <si>
    <t>Debesuota</t>
  </si>
  <si>
    <t>Oro temp., °CF</t>
  </si>
  <si>
    <t>Atm. slėgis, mm HghPain Hg</t>
  </si>
  <si>
    <t>Drėgnumas, %</t>
  </si>
  <si>
    <t>Pojūtis, °CF</t>
  </si>
  <si>
    <t>Giedra</t>
  </si>
  <si>
    <t>ŠV</t>
  </si>
  <si>
    <t>Sk</t>
  </si>
  <si>
    <t>Didelis debesuotumas, lietus</t>
  </si>
  <si>
    <t>ŠR</t>
  </si>
  <si>
    <t>Pr</t>
  </si>
  <si>
    <t>Š</t>
  </si>
  <si>
    <t>Didelis debesuotumas, nedidelis lietus</t>
  </si>
  <si>
    <t>An</t>
  </si>
  <si>
    <t>Debesuota, nedidelis lietus</t>
  </si>
  <si>
    <t>Mažas debesuotumas, nedidelis lietus</t>
  </si>
  <si>
    <t>Tr</t>
  </si>
  <si>
    <t>Didelis debesuotumas, sniegas</t>
  </si>
  <si>
    <t>Kt</t>
  </si>
  <si>
    <t>PV</t>
  </si>
  <si>
    <t>P</t>
  </si>
  <si>
    <t>V</t>
  </si>
  <si>
    <t>Pn</t>
  </si>
  <si>
    <t>Mažas debesuotumas</t>
  </si>
  <si>
    <t>PR</t>
  </si>
  <si>
    <t>R</t>
  </si>
  <si>
    <t>Gismeteo.LT: Kaunas</t>
  </si>
  <si>
    <t>Kaune</t>
  </si>
  <si>
    <t>Glausta prognozė</t>
  </si>
  <si>
    <t>Prognozė kas valandą</t>
  </si>
  <si>
    <t>Dviem savaitėms</t>
  </si>
  <si>
    <t>Mėnesio orų prognozė</t>
  </si>
  <si>
    <t>Geomagnetinių audrų prognozės</t>
  </si>
  <si>
    <t>Orų senasis atvaizdavimas</t>
  </si>
  <si>
    <t>Orai skubantiems</t>
  </si>
  <si>
    <t>Orų dienoraštis (ru)</t>
  </si>
  <si>
    <t>Astronomija</t>
  </si>
  <si>
    <t>Saulė</t>
  </si>
  <si>
    <t>Mėnulis</t>
  </si>
  <si>
    <t>Informacija</t>
  </si>
  <si>
    <t>Apie projektą</t>
  </si>
  <si>
    <t>Svetainės duomenų naudojimo sąlygos</t>
  </si>
  <si>
    <t>Reklama svetainėje</t>
  </si>
  <si>
    <t>Dažnai užduodami klausimai (DUK)</t>
  </si>
  <si>
    <t>Svečių knyga</t>
  </si>
  <si>
    <t>Kontaktai</t>
  </si>
  <si>
    <t>Infoblokas</t>
  </si>
  <si>
    <t>InfoblokasOrai Kaune - įsidiekite prognozes į savo svetainę per porą minučių. Tiksli Gismeteo orų prognozė Lietuvoje ir visame pasaulyje.</t>
  </si>
  <si>
    <t>Išsamiau</t>
  </si>
  <si>
    <t>Orai Lietuvoje</t>
  </si>
  <si>
    <t>Akademija</t>
  </si>
  <si>
    <t>Babtai</t>
  </si>
  <si>
    <t>Birštonas</t>
  </si>
  <si>
    <t>Domeikava</t>
  </si>
  <si>
    <t>Ežerėlis</t>
  </si>
  <si>
    <t>Garliava</t>
  </si>
  <si>
    <t>Išlaužas</t>
  </si>
  <si>
    <t>Jieznas</t>
  </si>
  <si>
    <t>Karmėlava</t>
  </si>
  <si>
    <t>Kauno oro uostas</t>
  </si>
  <si>
    <t>Kačerginė</t>
  </si>
  <si>
    <t>Kulautuva</t>
  </si>
  <si>
    <t>Labūnava</t>
  </si>
  <si>
    <t>Lapės</t>
  </si>
  <si>
    <t>Mastaičiai</t>
  </si>
  <si>
    <t>Mauručiai</t>
  </si>
  <si>
    <t>Neveronys</t>
  </si>
  <si>
    <t>Pakuonis</t>
  </si>
  <si>
    <t>Prienai</t>
  </si>
  <si>
    <t>Ramučiai</t>
  </si>
  <si>
    <t>Raudondvaris</t>
  </si>
  <si>
    <t>Ringaudai</t>
  </si>
  <si>
    <t>Skriaudžiai</t>
  </si>
  <si>
    <t>Vandžiogala</t>
  </si>
  <si>
    <t>Veiveriai</t>
  </si>
  <si>
    <t>Zapyškis</t>
  </si>
  <si>
    <t>Šlienava</t>
  </si>
  <si>
    <t>Copyright © 1998-2017, Gismeteo.LT</t>
  </si>
  <si>
    <t xml:space="preserve">Musu projektai: , , , , , </t>
  </si>
  <si>
    <t>Lietus</t>
  </si>
  <si>
    <t>Vėjas</t>
  </si>
  <si>
    <t>Temperatūra</t>
  </si>
  <si>
    <t>Atitinka laipsn</t>
  </si>
  <si>
    <t xml:space="preserve">Atitinka </t>
  </si>
  <si>
    <t>Vėjas, m/s; myl/val; km/val</t>
  </si>
  <si>
    <t>Oro temp., °C/F</t>
  </si>
  <si>
    <t>Debesuotumas</t>
  </si>
  <si>
    <t>Krituliai</t>
  </si>
  <si>
    <t>Debesuotumas-krituliai</t>
  </si>
  <si>
    <t>Mažas debesuotumas, ūkana</t>
  </si>
  <si>
    <t>Orų būsena, atmosferos reiškiniai</t>
  </si>
  <si>
    <t>Vėjas,</t>
  </si>
  <si>
    <t>m/smyl/valkm/val</t>
  </si>
  <si>
    <t>Orų žemėlapiai</t>
  </si>
  <si>
    <t>Rasti žemėlapį</t>
  </si>
  <si>
    <t>Žemėlapių katalogas</t>
  </si>
  <si>
    <t>Standartiniai žemėlapiai</t>
  </si>
  <si>
    <t>Val.</t>
  </si>
  <si>
    <t>Spėjama temperatūra</t>
  </si>
  <si>
    <t>št</t>
  </si>
  <si>
    <t>Vėjo kryptis</t>
  </si>
  <si>
    <t>štilis</t>
  </si>
  <si>
    <t>pietų</t>
  </si>
  <si>
    <t>rytų</t>
  </si>
  <si>
    <t>vakarų</t>
  </si>
  <si>
    <t>šiaurės</t>
  </si>
  <si>
    <t>šiaurės vakarų</t>
  </si>
  <si>
    <t>šiaurės rytų</t>
  </si>
  <si>
    <t>pietryčių</t>
  </si>
  <si>
    <t>pietvakarių</t>
  </si>
  <si>
    <t>Û</t>
  </si>
  <si>
    <t>Ý</t>
  </si>
  <si>
    <t>Þ</t>
  </si>
  <si>
    <t>Ù</t>
  </si>
  <si>
    <t>Ü</t>
  </si>
  <si>
    <t>ß</t>
  </si>
  <si>
    <t>à</t>
  </si>
  <si>
    <t>Ú</t>
  </si>
  <si>
    <t xml:space="preserve"> </t>
  </si>
  <si>
    <t>S</t>
  </si>
  <si>
    <t>SS</t>
  </si>
  <si>
    <t>T</t>
  </si>
  <si>
    <t>SSS</t>
  </si>
  <si>
    <t>Didelis debesuotumas, stiprus lietus</t>
  </si>
  <si>
    <t>Õ</t>
  </si>
  <si>
    <t>Ö</t>
  </si>
  <si>
    <t>ÙÙ</t>
  </si>
  <si>
    <t>Webdings</t>
  </si>
  <si>
    <t>Wingdings</t>
  </si>
  <si>
    <t>Wingdings 3</t>
  </si>
  <si>
    <t>šriftas</t>
  </si>
  <si>
    <t>×</t>
  </si>
  <si>
    <t>nedidelis lietus</t>
  </si>
  <si>
    <t>lietus</t>
  </si>
  <si>
    <t>stiprus lietus</t>
  </si>
  <si>
    <t>sniegas</t>
  </si>
  <si>
    <t>ūkana</t>
  </si>
  <si>
    <t>Vėjo stiprumas</t>
  </si>
  <si>
    <t>0 val.</t>
  </si>
  <si>
    <t>3 val.</t>
  </si>
  <si>
    <t>6 val.</t>
  </si>
  <si>
    <t>9 val.</t>
  </si>
  <si>
    <t>12 val.</t>
  </si>
  <si>
    <t>15 val.</t>
  </si>
  <si>
    <t>18 val.</t>
  </si>
  <si>
    <t>21 val.</t>
  </si>
  <si>
    <t>Darbo valandos</t>
  </si>
  <si>
    <t>F</t>
  </si>
  <si>
    <t>@</t>
  </si>
  <si>
    <t></t>
  </si>
  <si>
    <t>HãI</t>
  </si>
  <si>
    <t>ã</t>
  </si>
  <si>
    <t>I</t>
  </si>
  <si>
    <t></t>
  </si>
  <si>
    <t>asdfghj</t>
  </si>
  <si>
    <t>×ß</t>
  </si>
  <si>
    <t>Nuskaitomas tekstas</t>
  </si>
  <si>
    <t>Atitikmuo</t>
  </si>
  <si>
    <t>pirmadienis</t>
  </si>
  <si>
    <t>antradienis</t>
  </si>
  <si>
    <t>trečiadienis</t>
  </si>
  <si>
    <t>ketvirtadienis</t>
  </si>
  <si>
    <t>penktadienis</t>
  </si>
  <si>
    <t>šeštadienis</t>
  </si>
  <si>
    <t>sekmadienis</t>
  </si>
  <si>
    <t>Savaitės dienos</t>
  </si>
  <si>
    <t>­</t>
  </si>
  <si>
    <t>ŠIANDIEN</t>
  </si>
  <si>
    <t>naktis</t>
  </si>
  <si>
    <t>rytas</t>
  </si>
  <si>
    <t>diena</t>
  </si>
  <si>
    <t>ilgas</t>
  </si>
  <si>
    <t>Laiko apskaitai</t>
  </si>
  <si>
    <t>Čia turi būti 36 eilutė</t>
  </si>
  <si>
    <t>Vakar buvo</t>
  </si>
  <si>
    <t>Komforto zona 20-25 Cls.</t>
  </si>
  <si>
    <t>Mažas debesuotumas, lietus</t>
  </si>
  <si>
    <t>Debesuota, lietus</t>
  </si>
  <si>
    <t>Mažas debesuotumas, nedidelis lietus, griaustinis</t>
  </si>
  <si>
    <t>Išskleisti visas dienas</t>
  </si>
  <si>
    <t>Suskleisti visas dienas</t>
  </si>
  <si>
    <t>Naktis</t>
  </si>
  <si>
    <t>Diena</t>
  </si>
  <si>
    <t>Vėjas, m/smyl/valkm/val</t>
  </si>
  <si>
    <t>Rytas</t>
  </si>
  <si>
    <t>Vakaras</t>
  </si>
  <si>
    <t>Temperatūros prognozė</t>
  </si>
  <si>
    <t>Rytoj bus</t>
  </si>
  <si>
    <t xml:space="preserve">      1</t>
  </si>
  <si>
    <t>Rytoj bus2</t>
  </si>
  <si>
    <t>Vakar buvo2</t>
  </si>
  <si>
    <t>Savaitės dienos2</t>
  </si>
  <si>
    <t>Šiandien yra</t>
  </si>
  <si>
    <t>sav.d.skaitine išr.</t>
  </si>
  <si>
    <t>šiandien</t>
  </si>
  <si>
    <t>rytoj</t>
  </si>
  <si>
    <t>poryt</t>
  </si>
  <si>
    <t>Debesuota, nedidelis lietus, griaustinis</t>
  </si>
  <si>
    <t>Didelis debesuotumas, nedidelis lietus, griaustinis</t>
  </si>
  <si>
    <t>ÙÜ</t>
  </si>
  <si>
    <t>Offset eil.nr.</t>
  </si>
  <si>
    <t>x4 pasikartojančios eilutės</t>
  </si>
  <si>
    <t>Mažas debesuotumas, griaustinis</t>
  </si>
  <si>
    <t>nieko - tarpo simbolis</t>
  </si>
  <si>
    <t>t</t>
  </si>
  <si>
    <t>h</t>
  </si>
  <si>
    <t>Sh</t>
  </si>
  <si>
    <t>SSh</t>
  </si>
  <si>
    <t>Kruša</t>
  </si>
  <si>
    <t>griaustinis</t>
  </si>
  <si>
    <t>kruša</t>
  </si>
  <si>
    <t>šlapdriba</t>
  </si>
  <si>
    <t>Senų duomenų kopijos</t>
  </si>
  <si>
    <t>(pokyčių sekimas)</t>
  </si>
  <si>
    <t>Didelis debesuotumas, stiprus lietus, griaustinis</t>
  </si>
  <si>
    <t>Didelis debesuotumas, lietus, griaustinis</t>
  </si>
  <si>
    <t>Mažas debesuotumas, lietus, griaustinis</t>
  </si>
  <si>
    <t>10 stiprus vėjas</t>
  </si>
  <si>
    <t>5 silpnas vėjas</t>
  </si>
  <si>
    <t>15 uraganinis vėjas</t>
  </si>
  <si>
    <t>Vėjas:</t>
  </si>
  <si>
    <t>Temperatūra:</t>
  </si>
  <si>
    <t>àÕÖ×ØÙÚÛÜ</t>
  </si>
  <si>
    <t>thzË</t>
  </si>
  <si>
    <t>z</t>
  </si>
  <si>
    <t>àÕ</t>
  </si>
  <si>
    <t>SzTth</t>
  </si>
  <si>
    <t>Giedra (naktį)</t>
  </si>
  <si>
    <t>ÛÛ</t>
  </si>
  <si>
    <t>ÜÜ</t>
  </si>
  <si>
    <t>Debesuota, stiprus lietus</t>
  </si>
  <si>
    <t>Mažas debesuotumas, stiprus lietus</t>
  </si>
  <si>
    <t>Mažas debesuotumas, stiprus lietus, griaustinis</t>
  </si>
  <si>
    <t>SSSh</t>
  </si>
  <si>
    <t>Debesuota, lietus, griaustinis</t>
  </si>
  <si>
    <t>Debesuota, stiprus lietus, griaustinis</t>
  </si>
  <si>
    <t>73 galimos kombinacijos</t>
  </si>
  <si>
    <t>Debesuota, griaustinis</t>
  </si>
  <si>
    <t>Didelis debesuotumas, griaustinis</t>
  </si>
  <si>
    <t>0 v.</t>
  </si>
  <si>
    <t>6 v.</t>
  </si>
  <si>
    <t>12 v.</t>
  </si>
  <si>
    <t>18 v.</t>
  </si>
  <si>
    <t xml:space="preserve">   vakaras</t>
  </si>
  <si>
    <t>Debesuota, liūtis</t>
  </si>
  <si>
    <t>Didelis debesuotumas, liūtis</t>
  </si>
  <si>
    <t>SSSS</t>
  </si>
  <si>
    <t>Didelis debesuotumas, ūkana</t>
  </si>
  <si>
    <t>ÙÙß</t>
  </si>
  <si>
    <t xml:space="preserve">Progreso juosta: </t>
  </si>
  <si>
    <t>dienos vid.temperatūra</t>
  </si>
  <si>
    <t>Saulėtekis</t>
  </si>
  <si>
    <t>Saulėlydis</t>
  </si>
  <si>
    <t>xxxxxxxx</t>
  </si>
  <si>
    <t>Tiksli para</t>
  </si>
  <si>
    <t>darbo valandos 8-17</t>
  </si>
  <si>
    <t>Vėsoka</t>
  </si>
  <si>
    <t>Darbinė zona</t>
  </si>
  <si>
    <t>Komfort.zona</t>
  </si>
  <si>
    <t>Karšta</t>
  </si>
  <si>
    <t>Per karšta</t>
  </si>
  <si>
    <t>Kaitra</t>
  </si>
  <si>
    <t>Pragaras</t>
  </si>
  <si>
    <t>0−−</t>
  </si>
  <si>
    <t>Minusas</t>
  </si>
  <si>
    <t>Šalta</t>
  </si>
  <si>
    <t>Labai šalta</t>
  </si>
  <si>
    <t>Kaip šaldytuve</t>
  </si>
  <si>
    <t>nuo</t>
  </si>
  <si>
    <t>iki</t>
  </si>
  <si>
    <t>Temperatūrų intervalai</t>
  </si>
  <si>
    <t>Štilis</t>
  </si>
  <si>
    <t>Pokyčių sekimas (momentinės kopijos)</t>
  </si>
  <si>
    <t>Rūkas</t>
  </si>
  <si>
    <t>Didelis debesuotumas, dulksna</t>
  </si>
  <si>
    <t>ÙÛ</t>
  </si>
  <si>
    <t>ßß</t>
  </si>
  <si>
    <t>Giedra, ūkana</t>
  </si>
  <si>
    <t>Õß</t>
  </si>
  <si>
    <t>Mažas debesuotumas, Liūtis</t>
  </si>
  <si>
    <t>Giedra, rūkas</t>
  </si>
  <si>
    <t>rūkas</t>
  </si>
  <si>
    <t>Debesuota, ūkana</t>
  </si>
  <si>
    <t>Ùß</t>
  </si>
  <si>
    <t>30in Hg</t>
  </si>
  <si>
    <t>Oro temperatūra Baltarusijoje</t>
  </si>
  <si>
    <t>Savaitės knygų apžvalga</t>
  </si>
  <si>
    <t>Orai Pr–Tr Tr–Pn Pn–Sk Sk–An 2 savaitės Mėnesis</t>
  </si>
  <si>
    <t xml:space="preserve">Orai Pr–Tr Tr–Pn Pn–Sk Sk–An 2 savaitės Mėnesis  </t>
  </si>
  <si>
    <t>23.10</t>
  </si>
  <si>
    <t>Pr, 23 spalio</t>
  </si>
  <si>
    <t>24.10</t>
  </si>
  <si>
    <t>An, 24 spalio</t>
  </si>
  <si>
    <t>25.10</t>
  </si>
  <si>
    <t>Tr, 25 spalio</t>
  </si>
  <si>
    <t>0−</t>
  </si>
  <si>
    <t>26.10</t>
  </si>
  <si>
    <t>Kt, 26 spalio</t>
  </si>
  <si>
    <t>−1+30</t>
  </si>
  <si>
    <t>27.10</t>
  </si>
  <si>
    <t>Pn, 27 spalio</t>
  </si>
  <si>
    <t>28.10</t>
  </si>
  <si>
    <t>Št, 28 spalio</t>
  </si>
  <si>
    <t>29.10</t>
  </si>
  <si>
    <t>Sk, 29 spalio</t>
  </si>
  <si>
    <t>Krituliai Europoje</t>
  </si>
  <si>
    <t>Debesuotumas ir atms. frontas Baltarusijoje</t>
  </si>
  <si>
    <t>Krituliai Baltarusijoje</t>
  </si>
  <si>
    <t>Radar Pabaltijyje</t>
  </si>
  <si>
    <t>Antžeminis vėjas Pabaltijyje</t>
  </si>
  <si>
    <t>Oro temperatūra ir meteo. reiškiniai Pabaltijyje</t>
  </si>
  <si>
    <t>Oro temperatūra Pabaltijyje</t>
  </si>
  <si>
    <t>Dėl komandos pralaimėjimo įtūžę „Žalgirio“ sirgaliai niokojo Marijampolės stadioną</t>
  </si>
  <si>
    <t>„Žalgiris“ iškovojo pergalę rekordiniu skirtumu</t>
  </si>
  <si>
    <t>Pirmoji pažintis su „Volvo V90 Cross Country“: (be)kelių karalius</t>
  </si>
  <si>
    <t>Pokštas ar ambicingas užmojis? Buvęs socdemas kviečia burtis į Liberalų partiją</t>
  </si>
  <si>
    <t>„Rimi“ ir „Iki“ sandoris palies kelis šimtus darbuotojų</t>
  </si>
  <si>
    <t>D.Trumpas: JAV pasirengusi bet kam konflikte su Šiaurės Korėja</t>
  </si>
  <si>
    <t>Kaip po rekonstrukcijos atrodys Šiaulių pėsčiųjų bulvaras?</t>
  </si>
  <si>
    <t>Šančiai atgyja: apgriuvusios kareivinės ir jose nakvojantys benamiai – praeitis</t>
  </si>
  <si>
    <t>Orai: jau galima ir šlapdriba</t>
  </si>
  <si>
    <t>Rytinis reidas sostinėje pradžiugino: įkliuvo tik vienas pažeidėjas</t>
  </si>
  <si>
    <t>R. Berankis liko per plauką nuo didžiausio trofėjaus karjeroje</t>
  </si>
  <si>
    <t>Vos ne kiekvienas biržietis turi pastabų dar neišleistai knygai ir jos autoriams</t>
  </si>
  <si>
    <t>Šansu pasinaudojęs D. Sabonis sužaidė karjeros rungtynes</t>
  </si>
  <si>
    <t>Nuostabiai žaidęs A. Kulboka atvedė savo komandą į pergalę</t>
  </si>
  <si>
    <t>Pradėti viešinti KGB agentų pranešimai</t>
  </si>
  <si>
    <t>Kaip Sąjūdžio įkvėptas jaunuolis tapo įtakingiausiu Lietuvos teisininku</t>
  </si>
  <si>
    <t>+2°C</t>
  </si>
  <si>
    <t>+36°F</t>
  </si>
  <si>
    <t>3m/s</t>
  </si>
  <si>
    <t>7myl/val</t>
  </si>
  <si>
    <t>11km/val</t>
  </si>
  <si>
    <t>755mm Hg</t>
  </si>
  <si>
    <t>1007hPa</t>
  </si>
  <si>
    <t>91% drėg.</t>
  </si>
  <si>
    <t>8°Cvanduo</t>
  </si>
  <si>
    <t>46°Fvanduo</t>
  </si>
  <si>
    <t xml:space="preserve">23 spalio 2017 6:00 </t>
  </si>
  <si>
    <t>+1+34..+6+43</t>
  </si>
  <si>
    <t>+1+34..+5+41</t>
  </si>
  <si>
    <t>+2+36..+5+41</t>
  </si>
  <si>
    <t>Saulėtekis 8:09</t>
  </si>
  <si>
    <t>Saulėlydis 18:06</t>
  </si>
  <si>
    <t xml:space="preserve">Ilguma 9:57 </t>
  </si>
  <si>
    <t>Fazė 10%</t>
  </si>
  <si>
    <t>Jaunatis</t>
  </si>
  <si>
    <t>23 spalio 2017</t>
  </si>
  <si>
    <t>30.10</t>
  </si>
  <si>
    <t>Pr, 30 spalio</t>
  </si>
  <si>
    <t>31.10</t>
  </si>
  <si>
    <t>An, 31 spalio</t>
  </si>
  <si>
    <t>1.11</t>
  </si>
  <si>
    <t>Tr, 1 lapkričio</t>
  </si>
  <si>
    <t>2.11</t>
  </si>
  <si>
    <t>Kt, 2 lapkričio</t>
  </si>
  <si>
    <t>3.11</t>
  </si>
  <si>
    <t>Pn, 3 lapkričio</t>
  </si>
  <si>
    <t>4.11</t>
  </si>
  <si>
    <t>Št, 4 lapkričio</t>
  </si>
  <si>
    <t>−2+28</t>
  </si>
  <si>
    <t>5.11</t>
  </si>
  <si>
    <t>Sk, 5 lapkričio</t>
  </si>
  <si>
    <t>Gyvenimas atokiose Orknio salose: kuo taip traukia ši Škotijos vieta?</t>
  </si>
  <si>
    <t>Lyderio poziciją praradusio „Žalgirio“ treneris: žaisime penkis finalus</t>
  </si>
  <si>
    <t>Fazė 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</si>
</sst>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 _€_-;\-* #,##0.00\ _€_-;_-* &quot;-&quot;??\ _€_-;_-@_-"/>
    <numFmt numFmtId="164" formatCode="[$-FC27]yyyy\ &quot;m.&quot;\ mmmm\ d\ &quot;d.&quot;;@"/>
    <numFmt numFmtId="165" formatCode="m\.dd"/>
    <numFmt numFmtId="166" formatCode="hh:mm;@"/>
  </numFmts>
  <fonts count="107" x14ac:knownFonts="1">
    <font>
      <sz val="11"/>
      <color theme="1"/>
      <name val="Calibri"/>
      <family val="2"/>
      <charset val="186"/>
      <scheme val="minor"/>
    </font>
    <font>
      <sz val="11"/>
      <color theme="1"/>
      <name val="Calibri"/>
      <family val="2"/>
      <charset val="186"/>
      <scheme val="minor"/>
    </font>
    <font>
      <sz val="11"/>
      <color rgb="FF006100"/>
      <name val="Calibri"/>
      <family val="2"/>
      <charset val="186"/>
      <scheme val="minor"/>
    </font>
    <font>
      <sz val="11"/>
      <color rgb="FF9C0006"/>
      <name val="Calibri"/>
      <family val="2"/>
      <charset val="186"/>
      <scheme val="minor"/>
    </font>
    <font>
      <sz val="11"/>
      <color rgb="FF9C5700"/>
      <name val="Calibri"/>
      <family val="2"/>
      <charset val="186"/>
      <scheme val="minor"/>
    </font>
    <font>
      <sz val="11"/>
      <color theme="0"/>
      <name val="Calibri"/>
      <family val="2"/>
      <charset val="186"/>
      <scheme val="minor"/>
    </font>
    <font>
      <b/>
      <sz val="11"/>
      <color rgb="FFFF0000"/>
      <name val="Calibri"/>
      <family val="2"/>
      <charset val="186"/>
      <scheme val="minor"/>
    </font>
    <font>
      <b/>
      <sz val="12"/>
      <color rgb="FFFF0000"/>
      <name val="Calibri"/>
      <family val="2"/>
      <charset val="186"/>
      <scheme val="minor"/>
    </font>
    <font>
      <sz val="16"/>
      <color theme="1"/>
      <name val="Calibri"/>
      <family val="2"/>
      <charset val="186"/>
      <scheme val="minor"/>
    </font>
    <font>
      <sz val="11"/>
      <color theme="1"/>
      <name val="Wingdings 3"/>
      <family val="1"/>
      <charset val="2"/>
    </font>
    <font>
      <sz val="11"/>
      <color theme="0"/>
      <name val="Wingdings 3"/>
      <family val="1"/>
      <charset val="2"/>
    </font>
    <font>
      <sz val="36"/>
      <color theme="1"/>
      <name val="Wingdings"/>
      <charset val="2"/>
    </font>
    <font>
      <sz val="24"/>
      <color theme="1"/>
      <name val="Webdings"/>
      <family val="1"/>
      <charset val="2"/>
    </font>
    <font>
      <b/>
      <sz val="14"/>
      <color theme="0"/>
      <name val="Webdings"/>
      <family val="1"/>
      <charset val="2"/>
    </font>
    <font>
      <b/>
      <sz val="14"/>
      <color theme="1"/>
      <name val="Webdings"/>
      <family val="1"/>
      <charset val="2"/>
    </font>
    <font>
      <sz val="9"/>
      <color theme="1"/>
      <name val="Calibri"/>
      <family val="2"/>
      <charset val="186"/>
      <scheme val="minor"/>
    </font>
    <font>
      <b/>
      <sz val="9"/>
      <color theme="0"/>
      <name val="Webdings"/>
      <family val="1"/>
      <charset val="2"/>
    </font>
    <font>
      <sz val="11"/>
      <color theme="1"/>
      <name val="Webdings"/>
      <family val="1"/>
      <charset val="2"/>
    </font>
    <font>
      <sz val="14"/>
      <color theme="1"/>
      <name val="Calibri"/>
      <family val="2"/>
      <charset val="186"/>
      <scheme val="minor"/>
    </font>
    <font>
      <b/>
      <sz val="14"/>
      <color theme="8" tint="-0.249977111117893"/>
      <name val="Calibri"/>
      <family val="2"/>
      <charset val="186"/>
      <scheme val="minor"/>
    </font>
    <font>
      <i/>
      <sz val="14"/>
      <color theme="5" tint="-0.249977111117893"/>
      <name val="Calibri"/>
      <family val="2"/>
      <charset val="186"/>
      <scheme val="minor"/>
    </font>
    <font>
      <sz val="18"/>
      <color theme="1"/>
      <name val="Calibri"/>
      <family val="2"/>
      <charset val="186"/>
      <scheme val="minor"/>
    </font>
    <font>
      <sz val="18"/>
      <color theme="0"/>
      <name val="Calibri"/>
      <family val="2"/>
      <charset val="186"/>
      <scheme val="minor"/>
    </font>
    <font>
      <b/>
      <sz val="18"/>
      <color theme="1"/>
      <name val="Calibri"/>
      <family val="2"/>
      <charset val="186"/>
      <scheme val="minor"/>
    </font>
    <font>
      <sz val="9"/>
      <color rgb="FFFF0000"/>
      <name val="Calibri"/>
      <family val="2"/>
      <charset val="186"/>
      <scheme val="minor"/>
    </font>
    <font>
      <b/>
      <sz val="12"/>
      <name val="Calibri"/>
      <family val="2"/>
      <charset val="186"/>
      <scheme val="minor"/>
    </font>
    <font>
      <sz val="12"/>
      <color theme="1"/>
      <name val="Calibri"/>
      <family val="2"/>
      <charset val="186"/>
      <scheme val="minor"/>
    </font>
    <font>
      <b/>
      <sz val="11"/>
      <color theme="0"/>
      <name val="Calibri"/>
      <family val="2"/>
      <charset val="186"/>
      <scheme val="minor"/>
    </font>
    <font>
      <sz val="11"/>
      <name val="Calibri"/>
      <family val="2"/>
      <charset val="186"/>
      <scheme val="minor"/>
    </font>
    <font>
      <b/>
      <sz val="11"/>
      <name val="Calibri"/>
      <family val="2"/>
      <charset val="186"/>
      <scheme val="minor"/>
    </font>
    <font>
      <b/>
      <sz val="20"/>
      <color theme="4"/>
      <name val="Calibri"/>
      <family val="2"/>
      <charset val="186"/>
      <scheme val="minor"/>
    </font>
    <font>
      <b/>
      <sz val="11"/>
      <color theme="4"/>
      <name val="Calibri"/>
      <family val="2"/>
      <charset val="186"/>
      <scheme val="minor"/>
    </font>
    <font>
      <b/>
      <sz val="14"/>
      <color theme="4"/>
      <name val="Calibri"/>
      <family val="2"/>
      <charset val="186"/>
      <scheme val="minor"/>
    </font>
    <font>
      <b/>
      <sz val="9"/>
      <name val="Calibri"/>
      <family val="2"/>
      <charset val="186"/>
      <scheme val="minor"/>
    </font>
    <font>
      <sz val="9"/>
      <name val="Calibri"/>
      <family val="2"/>
      <charset val="186"/>
      <scheme val="minor"/>
    </font>
    <font>
      <b/>
      <sz val="9"/>
      <color rgb="FF7030A0"/>
      <name val="Calibri"/>
      <family val="2"/>
      <charset val="186"/>
      <scheme val="minor"/>
    </font>
    <font>
      <sz val="9"/>
      <color indexed="81"/>
      <name val="Tahoma"/>
      <family val="2"/>
      <charset val="186"/>
    </font>
    <font>
      <sz val="10"/>
      <color rgb="FF0000FF"/>
      <name val="Wingdings"/>
      <charset val="2"/>
    </font>
    <font>
      <sz val="20"/>
      <color theme="1"/>
      <name val="Webdings"/>
      <family val="1"/>
      <charset val="2"/>
    </font>
    <font>
      <sz val="11"/>
      <color rgb="FFFF0000"/>
      <name val="Calibri"/>
      <family val="2"/>
      <charset val="186"/>
      <scheme val="minor"/>
    </font>
    <font>
      <sz val="10"/>
      <color theme="1"/>
      <name val="Calibri"/>
      <family val="2"/>
      <charset val="186"/>
      <scheme val="minor"/>
    </font>
    <font>
      <b/>
      <sz val="14"/>
      <name val="Calibri"/>
      <family val="2"/>
      <charset val="186"/>
      <scheme val="minor"/>
    </font>
    <font>
      <b/>
      <sz val="14"/>
      <color theme="1"/>
      <name val="Calibri"/>
      <family val="2"/>
      <charset val="186"/>
      <scheme val="minor"/>
    </font>
    <font>
      <b/>
      <sz val="10"/>
      <color rgb="FF7030A0"/>
      <name val="Calibri"/>
      <family val="2"/>
      <charset val="186"/>
      <scheme val="minor"/>
    </font>
    <font>
      <sz val="10"/>
      <color rgb="FFFF0000"/>
      <name val="Calibri"/>
      <family val="2"/>
      <charset val="186"/>
      <scheme val="minor"/>
    </font>
    <font>
      <sz val="8"/>
      <color rgb="FF0000FF"/>
      <name val="Wingdings"/>
      <charset val="2"/>
    </font>
    <font>
      <b/>
      <sz val="8"/>
      <color theme="8"/>
      <name val="Calibri"/>
      <family val="2"/>
      <charset val="186"/>
      <scheme val="minor"/>
    </font>
    <font>
      <sz val="20"/>
      <color theme="1"/>
      <name val="Wingdings"/>
      <charset val="2"/>
    </font>
    <font>
      <sz val="11"/>
      <color rgb="FF0000FF"/>
      <name val="Calibri"/>
      <family val="2"/>
      <charset val="186"/>
      <scheme val="minor"/>
    </font>
    <font>
      <b/>
      <sz val="16"/>
      <name val="Calibri"/>
      <family val="2"/>
      <charset val="186"/>
      <scheme val="minor"/>
    </font>
    <font>
      <b/>
      <sz val="16"/>
      <color theme="0"/>
      <name val="Calibri"/>
      <family val="2"/>
      <charset val="186"/>
      <scheme val="minor"/>
    </font>
    <font>
      <b/>
      <sz val="11"/>
      <color theme="1"/>
      <name val="Calibri"/>
      <family val="2"/>
      <charset val="186"/>
      <scheme val="minor"/>
    </font>
    <font>
      <b/>
      <sz val="10"/>
      <name val="Calibri"/>
      <family val="2"/>
      <charset val="186"/>
      <scheme val="minor"/>
    </font>
    <font>
      <sz val="10"/>
      <color theme="8"/>
      <name val="Calibri"/>
      <family val="2"/>
      <charset val="186"/>
      <scheme val="minor"/>
    </font>
    <font>
      <sz val="10"/>
      <color rgb="FFFF0000"/>
      <name val="Wingdings 3"/>
      <family val="1"/>
      <charset val="2"/>
    </font>
    <font>
      <b/>
      <sz val="24"/>
      <name val="Calibri"/>
      <family val="2"/>
      <charset val="186"/>
      <scheme val="minor"/>
    </font>
    <font>
      <b/>
      <sz val="8"/>
      <color theme="1"/>
      <name val="Calibri"/>
      <family val="2"/>
      <charset val="186"/>
      <scheme val="minor"/>
    </font>
    <font>
      <b/>
      <sz val="8"/>
      <name val="Calibri"/>
      <family val="2"/>
      <charset val="186"/>
      <scheme val="minor"/>
    </font>
    <font>
      <sz val="12"/>
      <name val="Calibri"/>
      <family val="2"/>
      <charset val="186"/>
      <scheme val="minor"/>
    </font>
    <font>
      <sz val="48"/>
      <color theme="1"/>
      <name val="Webdings"/>
      <family val="1"/>
      <charset val="2"/>
    </font>
    <font>
      <sz val="16"/>
      <color theme="1"/>
      <name val="Webdings"/>
      <family val="1"/>
      <charset val="2"/>
    </font>
    <font>
      <sz val="16"/>
      <color theme="1"/>
      <name val="Wingdings"/>
      <charset val="2"/>
    </font>
    <font>
      <sz val="20"/>
      <color rgb="FFFF00FF"/>
      <name val="Wingdings"/>
      <charset val="2"/>
    </font>
    <font>
      <sz val="20"/>
      <color rgb="FF0000FF"/>
      <name val="Wingdings"/>
      <charset val="2"/>
    </font>
    <font>
      <sz val="8"/>
      <color theme="1"/>
      <name val="Calibri"/>
      <family val="2"/>
      <charset val="186"/>
      <scheme val="minor"/>
    </font>
    <font>
      <sz val="11"/>
      <color rgb="FF000000"/>
      <name val="Calibri"/>
      <family val="2"/>
      <charset val="186"/>
    </font>
    <font>
      <sz val="24"/>
      <color rgb="FF000000"/>
      <name val="Calibri"/>
      <family val="2"/>
      <charset val="186"/>
    </font>
    <font>
      <sz val="8"/>
      <color rgb="FFFF0000"/>
      <name val="Calibri"/>
      <family val="2"/>
      <charset val="186"/>
      <scheme val="minor"/>
    </font>
    <font>
      <b/>
      <sz val="20"/>
      <color theme="4"/>
      <name val="Calibri"/>
      <family val="2"/>
      <charset val="186"/>
      <scheme val="minor"/>
    </font>
    <font>
      <sz val="11"/>
      <name val="Calibri"/>
      <family val="2"/>
      <charset val="186"/>
      <scheme val="minor"/>
    </font>
    <font>
      <b/>
      <sz val="36"/>
      <color theme="4"/>
      <name val="Calibri"/>
      <family val="2"/>
      <charset val="186"/>
      <scheme val="minor"/>
    </font>
    <font>
      <b/>
      <sz val="28"/>
      <color theme="4"/>
      <name val="Calibri"/>
      <family val="2"/>
      <charset val="186"/>
      <scheme val="minor"/>
    </font>
    <font>
      <b/>
      <sz val="11"/>
      <name val="Calibri"/>
      <family val="2"/>
      <charset val="186"/>
      <scheme val="minor"/>
    </font>
    <font>
      <b/>
      <sz val="18"/>
      <color theme="4"/>
      <name val="Calibri"/>
      <family val="2"/>
      <charset val="186"/>
      <scheme val="minor"/>
    </font>
    <font>
      <sz val="16"/>
      <color theme="1"/>
      <name val="Calibri"/>
      <family val="2"/>
      <charset val="186"/>
      <scheme val="minor"/>
    </font>
    <font>
      <b/>
      <sz val="9"/>
      <color rgb="FF7030A0"/>
      <name val="Calibri"/>
      <family val="2"/>
      <charset val="186"/>
      <scheme val="minor"/>
    </font>
    <font>
      <b/>
      <sz val="9"/>
      <name val="Calibri"/>
      <family val="2"/>
      <charset val="186"/>
      <scheme val="minor"/>
    </font>
    <font>
      <sz val="9"/>
      <color theme="1"/>
      <name val="Calibri"/>
      <family val="2"/>
      <charset val="186"/>
      <scheme val="minor"/>
    </font>
    <font>
      <b/>
      <sz val="18"/>
      <color rgb="FFFF0000"/>
      <name val="Calibri"/>
      <family val="2"/>
      <charset val="186"/>
      <scheme val="minor"/>
    </font>
    <font>
      <b/>
      <sz val="16"/>
      <color rgb="FFFF0000"/>
      <name val="Calibri"/>
      <family val="2"/>
      <charset val="186"/>
      <scheme val="minor"/>
    </font>
    <font>
      <b/>
      <sz val="8"/>
      <color rgb="FFFF0000"/>
      <name val="Calibri"/>
      <family val="2"/>
      <charset val="186"/>
      <scheme val="minor"/>
    </font>
    <font>
      <b/>
      <sz val="16"/>
      <name val="Calibri"/>
      <family val="2"/>
      <charset val="186"/>
      <scheme val="minor"/>
    </font>
    <font>
      <b/>
      <sz val="11"/>
      <color theme="4"/>
      <name val="Calibri"/>
      <family val="2"/>
      <charset val="186"/>
      <scheme val="minor"/>
    </font>
    <font>
      <b/>
      <sz val="16"/>
      <color theme="0"/>
      <name val="Calibri"/>
      <family val="2"/>
      <charset val="186"/>
      <scheme val="minor"/>
    </font>
    <font>
      <sz val="9"/>
      <name val="Calibri"/>
      <family val="2"/>
      <charset val="186"/>
      <scheme val="minor"/>
    </font>
    <font>
      <b/>
      <sz val="9"/>
      <color rgb="FFFF0000"/>
      <name val="Calibri"/>
      <family val="2"/>
      <charset val="186"/>
      <scheme val="minor"/>
    </font>
    <font>
      <sz val="9"/>
      <color rgb="FFFF0000"/>
      <name val="Calibri"/>
      <family val="2"/>
      <charset val="186"/>
      <scheme val="minor"/>
    </font>
    <font>
      <b/>
      <sz val="12"/>
      <color rgb="FFFF0000"/>
      <name val="Calibri"/>
      <family val="2"/>
      <charset val="186"/>
      <scheme val="minor"/>
    </font>
    <font>
      <sz val="11"/>
      <color theme="1"/>
      <name val="Calibri"/>
      <family val="2"/>
      <charset val="186"/>
      <scheme val="minor"/>
    </font>
    <font>
      <b/>
      <sz val="9"/>
      <color theme="0"/>
      <name val="Webdings"/>
      <family val="1"/>
      <charset val="2"/>
    </font>
    <font>
      <b/>
      <sz val="16"/>
      <name val="Webdings"/>
      <family val="1"/>
      <charset val="2"/>
    </font>
    <font>
      <sz val="11"/>
      <color rgb="FF0000FF"/>
      <name val="Wingdings"/>
      <charset val="2"/>
    </font>
    <font>
      <sz val="12"/>
      <color theme="1"/>
      <name val="Calibri"/>
      <family val="2"/>
      <charset val="186"/>
      <scheme val="minor"/>
    </font>
    <font>
      <sz val="12"/>
      <color theme="0"/>
      <name val="Calibri"/>
      <family val="2"/>
      <charset val="186"/>
      <scheme val="minor"/>
    </font>
    <font>
      <sz val="12"/>
      <name val="Calibri"/>
      <family val="2"/>
      <charset val="186"/>
      <scheme val="minor"/>
    </font>
    <font>
      <b/>
      <sz val="11"/>
      <color theme="0"/>
      <name val="Calibri"/>
      <family val="2"/>
      <charset val="186"/>
      <scheme val="minor"/>
    </font>
    <font>
      <sz val="11"/>
      <color theme="0"/>
      <name val="Calibri"/>
      <family val="2"/>
      <charset val="186"/>
      <scheme val="minor"/>
    </font>
    <font>
      <b/>
      <u/>
      <sz val="11"/>
      <name val="Calibri"/>
      <family val="2"/>
      <charset val="186"/>
      <scheme val="minor"/>
    </font>
    <font>
      <b/>
      <sz val="11"/>
      <color rgb="FFFF0000"/>
      <name val="Wingdings 3"/>
      <family val="1"/>
      <charset val="2"/>
    </font>
    <font>
      <sz val="11"/>
      <color rgb="FFFF0000"/>
      <name val="Wingdings 3"/>
      <family val="1"/>
      <charset val="2"/>
    </font>
    <font>
      <sz val="11"/>
      <color theme="8"/>
      <name val="Calibri"/>
      <family val="2"/>
      <charset val="186"/>
      <scheme val="minor"/>
    </font>
    <font>
      <b/>
      <sz val="11"/>
      <color theme="1"/>
      <name val="Calibri"/>
      <family val="2"/>
      <charset val="186"/>
      <scheme val="minor"/>
    </font>
    <font>
      <sz val="11"/>
      <color theme="1"/>
      <name val="Webdings"/>
      <family val="1"/>
      <charset val="2"/>
    </font>
    <font>
      <sz val="11"/>
      <color theme="1"/>
      <name val="Wingdings 3"/>
      <family val="1"/>
      <charset val="2"/>
    </font>
    <font>
      <b/>
      <sz val="11"/>
      <color rgb="FF0000FF"/>
      <name val="Calibri"/>
      <family val="2"/>
      <charset val="186"/>
      <scheme val="minor"/>
    </font>
    <font>
      <sz val="11"/>
      <color rgb="FF0000FF"/>
      <name val="Calibri"/>
      <family val="2"/>
      <charset val="186"/>
      <scheme val="minor"/>
    </font>
    <font>
      <b/>
      <sz val="18"/>
      <name val="Calibri"/>
      <family val="2"/>
      <charset val="186"/>
      <scheme val="minor"/>
    </font>
  </fonts>
  <fills count="34">
    <fill>
      <patternFill patternType="none"/>
    </fill>
    <fill>
      <patternFill patternType="gray125"/>
    </fill>
    <fill>
      <patternFill patternType="solid">
        <fgColor indexed="22"/>
        <bgColor indexed="64"/>
      </patternFill>
    </fill>
    <fill>
      <patternFill patternType="solid">
        <fgColor rgb="FFFFFF00"/>
        <bgColor indexed="64"/>
      </patternFill>
    </fill>
    <fill>
      <patternFill patternType="solid">
        <fgColor indexed="23"/>
        <bgColor indexed="64"/>
      </patternFill>
    </fill>
    <fill>
      <patternFill patternType="solid">
        <fgColor rgb="FFFF0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0"/>
        <bgColor indexed="64"/>
      </patternFill>
    </fill>
    <fill>
      <gradientFill degree="180">
        <stop position="0">
          <color theme="0"/>
        </stop>
        <stop position="1">
          <color theme="1"/>
        </stop>
      </gradientFill>
    </fill>
    <fill>
      <patternFill patternType="solid">
        <fgColor theme="1"/>
        <bgColor auto="1"/>
      </patternFill>
    </fill>
    <fill>
      <gradientFill>
        <stop position="0">
          <color theme="0"/>
        </stop>
        <stop position="1">
          <color theme="1"/>
        </stop>
      </gradientFill>
    </fill>
    <fill>
      <patternFill patternType="solid">
        <fgColor theme="9" tint="0.39997558519241921"/>
        <bgColor auto="1"/>
      </patternFill>
    </fill>
    <fill>
      <patternFill patternType="solid">
        <fgColor rgb="FF7030A0"/>
        <bgColor auto="1"/>
      </patternFill>
    </fill>
    <fill>
      <patternFill patternType="solid">
        <fgColor theme="5" tint="0.39997558519241921"/>
        <bgColor indexed="64"/>
      </patternFill>
    </fill>
    <fill>
      <patternFill patternType="solid">
        <fgColor theme="9" tint="0.59999389629810485"/>
        <bgColor indexed="64"/>
      </patternFill>
    </fill>
    <fill>
      <patternFill patternType="solid">
        <fgColor theme="9" tint="0.39997558519241921"/>
        <bgColor indexed="64"/>
      </patternFill>
    </fill>
    <fill>
      <gradientFill degree="180">
        <stop position="0">
          <color theme="0"/>
        </stop>
        <stop position="1">
          <color theme="9" tint="0.40000610370189521"/>
        </stop>
      </gradientFill>
    </fill>
    <fill>
      <gradientFill degree="180">
        <stop position="0">
          <color theme="0"/>
        </stop>
        <stop position="1">
          <color theme="5" tint="0.40000610370189521"/>
        </stop>
      </gradientFill>
    </fill>
    <fill>
      <gradientFill degree="180">
        <stop position="0">
          <color theme="0"/>
        </stop>
        <stop position="1">
          <color rgb="FF7030A0"/>
        </stop>
      </gradientFill>
    </fill>
    <fill>
      <gradientFill>
        <stop position="0">
          <color theme="0"/>
        </stop>
        <stop position="1">
          <color theme="9" tint="0.40000610370189521"/>
        </stop>
      </gradientFill>
    </fill>
    <fill>
      <patternFill patternType="solid">
        <fgColor rgb="FF00B0F0"/>
        <bgColor indexed="64"/>
      </patternFill>
    </fill>
    <fill>
      <gradientFill>
        <stop position="0">
          <color theme="4" tint="-0.25098422193060094"/>
        </stop>
        <stop position="1">
          <color theme="0"/>
        </stop>
      </gradientFill>
    </fill>
    <fill>
      <patternFill patternType="solid">
        <fgColor theme="4" tint="0.59999389629810485"/>
        <bgColor indexed="64"/>
      </patternFill>
    </fill>
    <fill>
      <patternFill patternType="solid">
        <fgColor rgb="FFFF00FF"/>
        <bgColor indexed="64"/>
      </patternFill>
    </fill>
    <fill>
      <gradientFill degree="270">
        <stop position="0">
          <color theme="4" tint="0.59999389629810485"/>
        </stop>
        <stop position="1">
          <color rgb="FFFFFF00"/>
        </stop>
      </gradientFill>
    </fill>
    <fill>
      <patternFill patternType="solid">
        <fgColor theme="4" tint="0.39997558519241921"/>
        <bgColor indexed="64"/>
      </patternFill>
    </fill>
    <fill>
      <patternFill patternType="solid">
        <fgColor theme="1"/>
        <bgColor indexed="64"/>
      </patternFill>
    </fill>
    <fill>
      <patternFill patternType="solid">
        <fgColor indexed="22" tint="0.39997558519241921"/>
        <bgColor indexed="64"/>
      </patternFill>
    </fill>
    <fill>
      <patternFill patternType="solid">
        <fgColor theme="4"/>
        <bgColor indexed="64"/>
      </patternFill>
    </fill>
    <fill>
      <patternFill patternType="solid">
        <fgColor rgb="FF002060"/>
        <bgColor indexed="64"/>
      </patternFill>
    </fill>
    <fill>
      <patternFill patternType="solid">
        <fgColor theme="7"/>
        <bgColor indexed="64"/>
      </patternFill>
    </fill>
    <fill>
      <patternFill patternType="solid">
        <fgColor theme="0" tint="-0.249977111117893"/>
        <bgColor indexed="64"/>
      </patternFill>
    </fill>
  </fills>
  <borders count="28">
    <border>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ck">
        <color rgb="FFFF0000"/>
      </left>
      <right style="thick">
        <color rgb="FFFF0000"/>
      </right>
      <top style="thick">
        <color rgb="FFFF0000"/>
      </top>
      <bottom style="thick">
        <color rgb="FFFF0000"/>
      </bottom>
      <diagonal/>
    </border>
    <border>
      <left style="thick">
        <color rgb="FFFF0000"/>
      </left>
      <right/>
      <top/>
      <bottom/>
      <diagonal/>
    </border>
    <border>
      <left/>
      <right style="thick">
        <color rgb="FFFF0000"/>
      </right>
      <top/>
      <bottom/>
      <diagonal/>
    </border>
    <border>
      <left style="thick">
        <color rgb="FFFF0000"/>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ck">
        <color rgb="FFFF0000"/>
      </left>
      <right style="thin">
        <color indexed="64"/>
      </right>
      <top/>
      <bottom/>
      <diagonal/>
    </border>
    <border>
      <left style="thick">
        <color rgb="FFFF0000"/>
      </left>
      <right style="thin">
        <color indexed="64"/>
      </right>
      <top/>
      <bottom style="thin">
        <color indexed="64"/>
      </bottom>
      <diagonal/>
    </border>
    <border>
      <left/>
      <right/>
      <top style="thin">
        <color theme="1"/>
      </top>
      <bottom/>
      <diagonal/>
    </border>
    <border>
      <left/>
      <right style="thin">
        <color theme="1"/>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ck">
        <color rgb="FFFF0000"/>
      </left>
      <right/>
      <top style="thick">
        <color rgb="FFFF0000"/>
      </top>
      <bottom style="thick">
        <color rgb="FFFF0000"/>
      </bottom>
      <diagonal/>
    </border>
    <border>
      <left/>
      <right style="thick">
        <color rgb="FFFF0000"/>
      </right>
      <top style="thick">
        <color rgb="FFFF0000"/>
      </top>
      <bottom style="thick">
        <color rgb="FFFF0000"/>
      </bottom>
      <diagonal/>
    </border>
    <border>
      <left/>
      <right/>
      <top style="thick">
        <color rgb="FFFF0000"/>
      </top>
      <bottom style="thick">
        <color rgb="FFFF0000"/>
      </bottom>
      <diagonal/>
    </border>
    <border>
      <left/>
      <right/>
      <top style="thick">
        <color rgb="FFFF0000"/>
      </top>
      <bottom/>
      <diagonal/>
    </border>
    <border>
      <left/>
      <right style="thin">
        <color indexed="64"/>
      </right>
      <top style="thin">
        <color indexed="64"/>
      </top>
      <bottom style="thin">
        <color indexed="64"/>
      </bottom>
      <diagonal/>
    </border>
  </borders>
  <cellStyleXfs count="5">
    <xf numFmtId="0" fontId="0" fillId="0" borderId="0"/>
    <xf numFmtId="0" fontId="2" fillId="6" borderId="0" applyNumberFormat="0" applyBorder="0" applyAlignment="0" applyProtection="0"/>
    <xf numFmtId="0" fontId="3" fillId="7" borderId="0" applyNumberFormat="0" applyBorder="0" applyAlignment="0" applyProtection="0"/>
    <xf numFmtId="0" fontId="4" fillId="8" borderId="0" applyNumberFormat="0" applyBorder="0" applyAlignment="0" applyProtection="0"/>
    <xf numFmtId="43" fontId="1" fillId="0" borderId="0" applyFont="0" applyFill="0" applyBorder="0" applyAlignment="0" applyProtection="0"/>
  </cellStyleXfs>
  <cellXfs count="477">
    <xf numFmtId="0" fontId="0" fillId="0" borderId="0" xfId="0"/>
    <xf numFmtId="0" fontId="0" fillId="2" borderId="0" xfId="0" applyFill="1"/>
    <xf numFmtId="0" fontId="0" fillId="3" borderId="0" xfId="0" applyFill="1"/>
    <xf numFmtId="0" fontId="0" fillId="0" borderId="0" xfId="0" applyAlignment="1">
      <alignment horizontal="center" vertical="center"/>
    </xf>
    <xf numFmtId="0" fontId="0" fillId="0" borderId="0" xfId="0" applyAlignment="1">
      <alignment horizontal="center"/>
    </xf>
    <xf numFmtId="0" fontId="0" fillId="0" borderId="0" xfId="0" applyBorder="1" applyAlignment="1">
      <alignment horizontal="center" vertical="center"/>
    </xf>
    <xf numFmtId="0" fontId="2" fillId="6" borderId="10" xfId="1" applyBorder="1"/>
    <xf numFmtId="0" fontId="4" fillId="8" borderId="10" xfId="3" applyBorder="1"/>
    <xf numFmtId="0" fontId="3" fillId="7" borderId="10" xfId="2" applyBorder="1"/>
    <xf numFmtId="0" fontId="4" fillId="8" borderId="2" xfId="3" applyBorder="1"/>
    <xf numFmtId="0" fontId="4" fillId="8" borderId="0" xfId="3" applyBorder="1"/>
    <xf numFmtId="0" fontId="4" fillId="8" borderId="5" xfId="3" applyBorder="1"/>
    <xf numFmtId="0" fontId="2" fillId="6" borderId="2" xfId="1" applyBorder="1"/>
    <xf numFmtId="0" fontId="2" fillId="6" borderId="0" xfId="1" applyBorder="1"/>
    <xf numFmtId="0" fontId="2" fillId="6" borderId="5" xfId="1" applyBorder="1"/>
    <xf numFmtId="0" fontId="3" fillId="7" borderId="2" xfId="2" applyBorder="1"/>
    <xf numFmtId="0" fontId="3" fillId="7" borderId="0" xfId="2" applyBorder="1"/>
    <xf numFmtId="0" fontId="3" fillId="7" borderId="5" xfId="2" applyBorder="1"/>
    <xf numFmtId="0" fontId="5" fillId="4" borderId="0" xfId="0" applyFont="1" applyFill="1" applyBorder="1" applyAlignment="1">
      <alignment horizontal="center"/>
    </xf>
    <xf numFmtId="0" fontId="5" fillId="4" borderId="2" xfId="1" applyFont="1" applyFill="1" applyBorder="1" applyAlignment="1">
      <alignment horizontal="center"/>
    </xf>
    <xf numFmtId="0" fontId="5" fillId="4" borderId="0" xfId="1" applyFont="1" applyFill="1" applyBorder="1" applyAlignment="1">
      <alignment horizontal="center"/>
    </xf>
    <xf numFmtId="0" fontId="5" fillId="4" borderId="5" xfId="1" applyFont="1" applyFill="1" applyBorder="1" applyAlignment="1">
      <alignment horizontal="center"/>
    </xf>
    <xf numFmtId="0" fontId="5" fillId="4" borderId="2" xfId="3" applyFont="1" applyFill="1" applyBorder="1" applyAlignment="1">
      <alignment horizontal="center"/>
    </xf>
    <xf numFmtId="0" fontId="5" fillId="4" borderId="0" xfId="3" applyFont="1" applyFill="1" applyBorder="1" applyAlignment="1">
      <alignment horizontal="center"/>
    </xf>
    <xf numFmtId="0" fontId="5" fillId="4" borderId="5" xfId="3" applyFont="1" applyFill="1" applyBorder="1" applyAlignment="1">
      <alignment horizontal="center"/>
    </xf>
    <xf numFmtId="0" fontId="5" fillId="4" borderId="2" xfId="2" applyFont="1" applyFill="1" applyBorder="1" applyAlignment="1">
      <alignment horizontal="center"/>
    </xf>
    <xf numFmtId="0" fontId="5" fillId="4" borderId="0" xfId="2" applyFont="1" applyFill="1" applyBorder="1" applyAlignment="1">
      <alignment horizontal="center"/>
    </xf>
    <xf numFmtId="0" fontId="0" fillId="2" borderId="0" xfId="0" applyFill="1" applyAlignment="1">
      <alignment horizontal="center"/>
    </xf>
    <xf numFmtId="0" fontId="6" fillId="6" borderId="10" xfId="1" applyFont="1" applyBorder="1"/>
    <xf numFmtId="0" fontId="6" fillId="8" borderId="10" xfId="3" applyFont="1" applyBorder="1"/>
    <xf numFmtId="0" fontId="6" fillId="7" borderId="10" xfId="2" applyFont="1" applyBorder="1"/>
    <xf numFmtId="43" fontId="0" fillId="0" borderId="0" xfId="4" applyNumberFormat="1" applyFont="1"/>
    <xf numFmtId="0" fontId="0" fillId="0" borderId="0" xfId="0" applyBorder="1"/>
    <xf numFmtId="0" fontId="6" fillId="0" borderId="0" xfId="0" applyFont="1" applyBorder="1"/>
    <xf numFmtId="0" fontId="0" fillId="2" borderId="0" xfId="0" applyFill="1" applyBorder="1"/>
    <xf numFmtId="0" fontId="0" fillId="4" borderId="0" xfId="0" applyFill="1" applyBorder="1"/>
    <xf numFmtId="0" fontId="0" fillId="3" borderId="0" xfId="0" applyFill="1" applyBorder="1"/>
    <xf numFmtId="20" fontId="0" fillId="0" borderId="0" xfId="0" applyNumberFormat="1" applyBorder="1"/>
    <xf numFmtId="0" fontId="2" fillId="2" borderId="0" xfId="1" applyFill="1" applyBorder="1"/>
    <xf numFmtId="0" fontId="4" fillId="2" borderId="0" xfId="3" applyFill="1" applyBorder="1"/>
    <xf numFmtId="0" fontId="3" fillId="2" borderId="0" xfId="2" applyFill="1" applyBorder="1"/>
    <xf numFmtId="20" fontId="2" fillId="6" borderId="10" xfId="1" applyNumberFormat="1" applyBorder="1" applyAlignment="1">
      <alignment horizontal="center"/>
    </xf>
    <xf numFmtId="20" fontId="4" fillId="8" borderId="10" xfId="3" applyNumberFormat="1" applyBorder="1" applyAlignment="1">
      <alignment horizontal="center"/>
    </xf>
    <xf numFmtId="20" fontId="3" fillId="7" borderId="10" xfId="2" applyNumberFormat="1" applyBorder="1" applyAlignment="1">
      <alignment horizontal="center"/>
    </xf>
    <xf numFmtId="0" fontId="3" fillId="7" borderId="10" xfId="2" applyBorder="1" applyAlignment="1">
      <alignment horizontal="center"/>
    </xf>
    <xf numFmtId="0" fontId="0" fillId="0" borderId="0" xfId="0" applyFill="1" applyBorder="1"/>
    <xf numFmtId="0" fontId="2" fillId="0" borderId="0" xfId="1" applyFill="1" applyBorder="1"/>
    <xf numFmtId="0" fontId="0" fillId="2" borderId="10" xfId="0" applyFill="1" applyBorder="1"/>
    <xf numFmtId="43" fontId="0" fillId="0" borderId="0" xfId="0" applyNumberFormat="1"/>
    <xf numFmtId="0" fontId="0" fillId="0" borderId="0" xfId="0" applyFill="1"/>
    <xf numFmtId="0" fontId="10" fillId="4" borderId="0" xfId="1" applyFont="1" applyFill="1" applyBorder="1" applyAlignment="1">
      <alignment horizontal="center"/>
    </xf>
    <xf numFmtId="0" fontId="0" fillId="0" borderId="0" xfId="0" applyAlignment="1">
      <alignment vertical="center"/>
    </xf>
    <xf numFmtId="0" fontId="0" fillId="0" borderId="0" xfId="0" applyFont="1" applyAlignment="1">
      <alignment vertical="center"/>
    </xf>
    <xf numFmtId="0" fontId="0" fillId="2" borderId="0" xfId="0" applyFont="1" applyFill="1" applyAlignment="1">
      <alignment horizontal="center"/>
    </xf>
    <xf numFmtId="0" fontId="0" fillId="0" borderId="0" xfId="0" applyFont="1" applyAlignment="1">
      <alignment horizontal="center" vertical="center"/>
    </xf>
    <xf numFmtId="0" fontId="0" fillId="2" borderId="0" xfId="0" applyFont="1" applyFill="1" applyAlignment="1">
      <alignment horizontal="center" vertical="center"/>
    </xf>
    <xf numFmtId="0" fontId="11" fillId="0" borderId="10" xfId="0" applyFont="1" applyBorder="1" applyAlignment="1">
      <alignment vertical="center"/>
    </xf>
    <xf numFmtId="0" fontId="12" fillId="0" borderId="10" xfId="0" applyFont="1" applyBorder="1" applyAlignment="1">
      <alignment horizontal="left" vertical="center"/>
    </xf>
    <xf numFmtId="0" fontId="6" fillId="2" borderId="0" xfId="0" applyFont="1" applyFill="1" applyBorder="1"/>
    <xf numFmtId="0" fontId="6" fillId="3" borderId="0" xfId="0" applyFont="1" applyFill="1" applyBorder="1"/>
    <xf numFmtId="0" fontId="0" fillId="9" borderId="0" xfId="0" applyFill="1" applyBorder="1" applyAlignment="1">
      <alignment horizontal="center" vertical="center"/>
    </xf>
    <xf numFmtId="0" fontId="9" fillId="9" borderId="0" xfId="0" applyFont="1" applyFill="1" applyBorder="1" applyAlignment="1">
      <alignment horizontal="center" vertical="center"/>
    </xf>
    <xf numFmtId="0" fontId="0" fillId="9" borderId="0" xfId="0" applyFill="1" applyBorder="1" applyAlignment="1">
      <alignment horizontal="left" vertical="center"/>
    </xf>
    <xf numFmtId="0" fontId="8" fillId="9" borderId="0" xfId="0" applyFont="1" applyFill="1" applyBorder="1" applyAlignment="1">
      <alignment horizontal="center" vertical="center"/>
    </xf>
    <xf numFmtId="0" fontId="8" fillId="0" borderId="0" xfId="0" applyFont="1" applyBorder="1" applyAlignment="1">
      <alignment horizontal="center" vertical="center"/>
    </xf>
    <xf numFmtId="0" fontId="15" fillId="9" borderId="0" xfId="0" applyFont="1" applyFill="1" applyBorder="1" applyAlignment="1">
      <alignment horizontal="center" vertical="center"/>
    </xf>
    <xf numFmtId="0" fontId="15" fillId="0" borderId="0" xfId="0" applyFont="1" applyBorder="1" applyAlignment="1">
      <alignment horizontal="center" vertical="center"/>
    </xf>
    <xf numFmtId="0" fontId="15" fillId="10" borderId="0" xfId="0" applyFont="1" applyFill="1" applyBorder="1" applyAlignment="1">
      <alignment horizontal="center" vertical="center"/>
    </xf>
    <xf numFmtId="0" fontId="12" fillId="5" borderId="10" xfId="0" applyFont="1" applyFill="1" applyBorder="1" applyAlignment="1">
      <alignment horizontal="left" vertical="center"/>
    </xf>
    <xf numFmtId="0" fontId="12" fillId="2" borderId="10" xfId="0" applyFont="1" applyFill="1" applyBorder="1" applyAlignment="1">
      <alignment horizontal="left" vertical="center"/>
    </xf>
    <xf numFmtId="0" fontId="0" fillId="0" borderId="0" xfId="0" applyAlignment="1">
      <alignment horizontal="left"/>
    </xf>
    <xf numFmtId="0" fontId="0" fillId="0" borderId="11" xfId="0" applyBorder="1" applyAlignment="1">
      <alignment horizontal="center"/>
    </xf>
    <xf numFmtId="0" fontId="0" fillId="0" borderId="11" xfId="0" applyFill="1" applyBorder="1" applyAlignment="1">
      <alignment horizontal="center"/>
    </xf>
    <xf numFmtId="0" fontId="0" fillId="2" borderId="11" xfId="0" applyFill="1" applyBorder="1" applyAlignment="1">
      <alignment horizontal="center"/>
    </xf>
    <xf numFmtId="0" fontId="0" fillId="3" borderId="11" xfId="0" applyFill="1" applyBorder="1" applyAlignment="1">
      <alignment horizontal="center"/>
    </xf>
    <xf numFmtId="0" fontId="18" fillId="2" borderId="0" xfId="0" applyFont="1" applyFill="1" applyAlignment="1">
      <alignment horizontal="center"/>
    </xf>
    <xf numFmtId="0" fontId="19" fillId="2" borderId="0" xfId="0" applyFont="1" applyFill="1" applyAlignment="1">
      <alignment horizontal="center" vertical="center"/>
    </xf>
    <xf numFmtId="0" fontId="20" fillId="2" borderId="0" xfId="0" applyFont="1" applyFill="1" applyAlignment="1">
      <alignment horizontal="center" vertical="center"/>
    </xf>
    <xf numFmtId="0" fontId="18" fillId="0" borderId="0" xfId="0" applyFont="1" applyAlignment="1">
      <alignment vertical="center"/>
    </xf>
    <xf numFmtId="0" fontId="21" fillId="0" borderId="0" xfId="0" applyFont="1" applyAlignment="1">
      <alignment horizontal="center"/>
    </xf>
    <xf numFmtId="0" fontId="21" fillId="0" borderId="0" xfId="0" applyFont="1"/>
    <xf numFmtId="43" fontId="21" fillId="0" borderId="0" xfId="4" applyNumberFormat="1" applyFont="1"/>
    <xf numFmtId="43" fontId="21" fillId="0" borderId="0" xfId="0" applyNumberFormat="1" applyFont="1"/>
    <xf numFmtId="0" fontId="21" fillId="0" borderId="0" xfId="0" applyFont="1" applyAlignment="1">
      <alignment vertical="center"/>
    </xf>
    <xf numFmtId="0" fontId="21" fillId="0" borderId="0" xfId="0" applyFont="1" applyAlignment="1">
      <alignment horizontal="center" vertical="center"/>
    </xf>
    <xf numFmtId="0" fontId="22" fillId="5" borderId="0" xfId="0" applyFont="1" applyFill="1" applyAlignment="1">
      <alignment vertical="center"/>
    </xf>
    <xf numFmtId="0" fontId="21" fillId="0" borderId="0" xfId="0" applyFont="1" applyAlignment="1">
      <alignment horizontal="left"/>
    </xf>
    <xf numFmtId="0" fontId="23" fillId="0" borderId="11" xfId="0" applyFont="1" applyBorder="1" applyAlignment="1">
      <alignment vertical="center"/>
    </xf>
    <xf numFmtId="0" fontId="23" fillId="0" borderId="11" xfId="0" applyFont="1" applyBorder="1" applyAlignment="1">
      <alignment horizontal="center" vertical="center"/>
    </xf>
    <xf numFmtId="0" fontId="16" fillId="11" borderId="12" xfId="0" applyFont="1" applyFill="1" applyBorder="1" applyAlignment="1">
      <alignment horizontal="left" vertical="top" textRotation="255"/>
    </xf>
    <xf numFmtId="0" fontId="16" fillId="12" borderId="0" xfId="0" applyFont="1" applyFill="1" applyBorder="1" applyAlignment="1">
      <alignment horizontal="left" vertical="top" textRotation="255"/>
    </xf>
    <xf numFmtId="0" fontId="26" fillId="11" borderId="12" xfId="0" applyFont="1" applyFill="1" applyBorder="1"/>
    <xf numFmtId="0" fontId="26" fillId="10" borderId="0" xfId="0" applyFont="1" applyFill="1" applyBorder="1"/>
    <xf numFmtId="0" fontId="26" fillId="9" borderId="0" xfId="0" applyFont="1" applyFill="1" applyBorder="1" applyAlignment="1">
      <alignment horizontal="center" vertical="center"/>
    </xf>
    <xf numFmtId="0" fontId="26" fillId="12" borderId="0" xfId="0" applyFont="1" applyFill="1" applyBorder="1"/>
    <xf numFmtId="0" fontId="9" fillId="0" borderId="11" xfId="0" applyFont="1" applyFill="1" applyBorder="1" applyAlignment="1">
      <alignment horizontal="center"/>
    </xf>
    <xf numFmtId="0" fontId="10" fillId="0" borderId="0" xfId="1" applyFont="1" applyFill="1" applyBorder="1" applyAlignment="1">
      <alignment horizontal="center"/>
    </xf>
    <xf numFmtId="0" fontId="0" fillId="9" borderId="0" xfId="0" applyFill="1" applyBorder="1" applyAlignment="1">
      <alignment vertical="center"/>
    </xf>
    <xf numFmtId="0" fontId="0" fillId="3" borderId="0" xfId="0" applyFill="1" applyAlignment="1">
      <alignment vertical="center"/>
    </xf>
    <xf numFmtId="0" fontId="0" fillId="3" borderId="0" xfId="0" applyFill="1" applyAlignment="1">
      <alignment horizontal="center" vertical="center"/>
    </xf>
    <xf numFmtId="0" fontId="0" fillId="3" borderId="0" xfId="0" applyFont="1" applyFill="1" applyAlignment="1">
      <alignment horizontal="center" vertical="center"/>
    </xf>
    <xf numFmtId="0" fontId="31" fillId="9" borderId="0" xfId="0" applyFont="1" applyFill="1" applyBorder="1" applyAlignment="1">
      <alignment horizontal="left" vertical="center"/>
    </xf>
    <xf numFmtId="0" fontId="29" fillId="9" borderId="0" xfId="0" applyFont="1" applyFill="1" applyBorder="1" applyAlignment="1">
      <alignment horizontal="left" vertical="center"/>
    </xf>
    <xf numFmtId="0" fontId="33" fillId="9" borderId="0" xfId="0" applyFont="1" applyFill="1" applyBorder="1" applyAlignment="1">
      <alignment horizontal="left" vertical="center"/>
    </xf>
    <xf numFmtId="0" fontId="25" fillId="9" borderId="0" xfId="0" applyFont="1" applyFill="1" applyBorder="1" applyAlignment="1">
      <alignment horizontal="left" vertical="center"/>
    </xf>
    <xf numFmtId="0" fontId="29" fillId="16" borderId="0" xfId="0" applyFont="1" applyFill="1" applyBorder="1" applyAlignment="1">
      <alignment horizontal="left" vertical="center"/>
    </xf>
    <xf numFmtId="0" fontId="34" fillId="9" borderId="0" xfId="0" applyFont="1" applyFill="1" applyBorder="1" applyAlignment="1">
      <alignment horizontal="left" vertical="center"/>
    </xf>
    <xf numFmtId="0" fontId="29" fillId="9" borderId="0" xfId="0" applyFont="1" applyFill="1" applyBorder="1" applyAlignment="1">
      <alignment vertical="center"/>
    </xf>
    <xf numFmtId="0" fontId="0" fillId="0" borderId="0" xfId="0" applyBorder="1" applyAlignment="1">
      <alignment vertical="center"/>
    </xf>
    <xf numFmtId="0" fontId="0" fillId="11" borderId="14" xfId="0" applyFill="1" applyBorder="1" applyAlignment="1">
      <alignment horizontal="center" vertical="center"/>
    </xf>
    <xf numFmtId="0" fontId="0" fillId="10" borderId="15" xfId="0" applyFill="1" applyBorder="1" applyAlignment="1">
      <alignment horizontal="center" vertical="center"/>
    </xf>
    <xf numFmtId="0" fontId="0" fillId="9" borderId="15" xfId="0" applyFill="1" applyBorder="1" applyAlignment="1">
      <alignment horizontal="center" vertical="center"/>
    </xf>
    <xf numFmtId="0" fontId="0" fillId="12" borderId="15" xfId="0" applyFill="1" applyBorder="1" applyAlignment="1">
      <alignment horizontal="center" vertical="center"/>
    </xf>
    <xf numFmtId="22" fontId="0" fillId="9" borderId="0" xfId="0" applyNumberFormat="1" applyFill="1" applyBorder="1" applyAlignment="1">
      <alignment horizontal="center" vertical="center"/>
    </xf>
    <xf numFmtId="0" fontId="0" fillId="9" borderId="0" xfId="0" applyFont="1" applyFill="1" applyBorder="1" applyAlignment="1">
      <alignment horizontal="left" vertical="center"/>
    </xf>
    <xf numFmtId="0" fontId="0" fillId="9" borderId="10" xfId="0" applyFont="1" applyFill="1" applyBorder="1" applyAlignment="1">
      <alignment horizontal="center" vertical="center"/>
    </xf>
    <xf numFmtId="0" fontId="0" fillId="9" borderId="0" xfId="0" applyFont="1" applyFill="1" applyBorder="1" applyAlignment="1">
      <alignment horizontal="center" vertical="center"/>
    </xf>
    <xf numFmtId="0" fontId="0" fillId="0" borderId="0" xfId="0" applyFont="1" applyBorder="1" applyAlignment="1">
      <alignment horizontal="center" vertical="center"/>
    </xf>
    <xf numFmtId="0" fontId="0" fillId="10" borderId="6" xfId="0" applyFill="1" applyBorder="1" applyAlignment="1">
      <alignment horizontal="center" vertical="center"/>
    </xf>
    <xf numFmtId="0" fontId="0" fillId="9" borderId="6" xfId="0" applyFill="1" applyBorder="1" applyAlignment="1">
      <alignment horizontal="center" vertical="center"/>
    </xf>
    <xf numFmtId="0" fontId="0" fillId="12" borderId="6" xfId="0" applyFill="1" applyBorder="1" applyAlignment="1">
      <alignment horizontal="center" vertical="center"/>
    </xf>
    <xf numFmtId="0" fontId="0" fillId="11" borderId="17" xfId="0" applyFill="1" applyBorder="1" applyAlignment="1">
      <alignment horizontal="center" vertical="center"/>
    </xf>
    <xf numFmtId="0" fontId="24" fillId="11" borderId="12" xfId="0" applyFont="1" applyFill="1" applyBorder="1" applyAlignment="1">
      <alignment horizontal="left" vertical="center"/>
    </xf>
    <xf numFmtId="0" fontId="24" fillId="10" borderId="0" xfId="0" applyFont="1" applyFill="1" applyBorder="1" applyAlignment="1">
      <alignment horizontal="left" vertical="center"/>
    </xf>
    <xf numFmtId="0" fontId="24" fillId="9" borderId="0" xfId="0" applyFont="1" applyFill="1" applyBorder="1" applyAlignment="1">
      <alignment horizontal="left" vertical="center"/>
    </xf>
    <xf numFmtId="0" fontId="0" fillId="9" borderId="0" xfId="0" applyFill="1" applyBorder="1" applyAlignment="1">
      <alignment horizontal="left" vertical="top"/>
    </xf>
    <xf numFmtId="0" fontId="0" fillId="0" borderId="0" xfId="0" applyBorder="1" applyAlignment="1">
      <alignment horizontal="left" vertical="top"/>
    </xf>
    <xf numFmtId="0" fontId="0" fillId="4" borderId="0" xfId="0" applyFill="1" applyBorder="1" applyAlignment="1">
      <alignment horizontal="center" vertical="center"/>
    </xf>
    <xf numFmtId="0" fontId="0" fillId="0" borderId="1" xfId="0" applyBorder="1"/>
    <xf numFmtId="0" fontId="0" fillId="0" borderId="2" xfId="0" applyBorder="1"/>
    <xf numFmtId="0" fontId="10" fillId="4" borderId="19" xfId="1" applyFont="1" applyFill="1" applyBorder="1" applyAlignment="1">
      <alignment horizontal="center"/>
    </xf>
    <xf numFmtId="0" fontId="5" fillId="4" borderId="19" xfId="1" applyFont="1" applyFill="1" applyBorder="1" applyAlignment="1">
      <alignment horizontal="center"/>
    </xf>
    <xf numFmtId="0" fontId="5" fillId="4" borderId="20" xfId="1" applyFont="1" applyFill="1" applyBorder="1" applyAlignment="1">
      <alignment horizontal="center"/>
    </xf>
    <xf numFmtId="0" fontId="0" fillId="0" borderId="4" xfId="0" applyBorder="1"/>
    <xf numFmtId="0" fontId="0" fillId="0" borderId="5" xfId="0" applyBorder="1"/>
    <xf numFmtId="0" fontId="24" fillId="11" borderId="12" xfId="0" applyNumberFormat="1" applyFont="1" applyFill="1" applyBorder="1" applyAlignment="1">
      <alignment horizontal="left" vertical="center"/>
    </xf>
    <xf numFmtId="0" fontId="24" fillId="10" borderId="0" xfId="0" applyNumberFormat="1" applyFont="1" applyFill="1" applyBorder="1" applyAlignment="1">
      <alignment horizontal="left" vertical="center"/>
    </xf>
    <xf numFmtId="0" fontId="24" fillId="9" borderId="0" xfId="0" applyNumberFormat="1" applyFont="1" applyFill="1" applyBorder="1" applyAlignment="1">
      <alignment horizontal="left" vertical="center"/>
    </xf>
    <xf numFmtId="0" fontId="24" fillId="12" borderId="0" xfId="0" applyNumberFormat="1" applyFont="1" applyFill="1" applyBorder="1" applyAlignment="1">
      <alignment horizontal="left" vertical="center"/>
    </xf>
    <xf numFmtId="0" fontId="6" fillId="9" borderId="10" xfId="0" applyFont="1" applyFill="1" applyBorder="1" applyAlignment="1">
      <alignment horizontal="left" vertical="center"/>
    </xf>
    <xf numFmtId="0" fontId="6" fillId="2" borderId="10" xfId="0" applyFont="1" applyFill="1" applyBorder="1" applyAlignment="1">
      <alignment horizontal="left" vertical="center"/>
    </xf>
    <xf numFmtId="0" fontId="6" fillId="4" borderId="10" xfId="0" applyFont="1" applyFill="1" applyBorder="1" applyAlignment="1">
      <alignment horizontal="left" vertical="center"/>
    </xf>
    <xf numFmtId="0" fontId="40" fillId="9" borderId="0" xfId="0" applyFont="1" applyFill="1" applyAlignment="1">
      <alignment horizontal="center"/>
    </xf>
    <xf numFmtId="0" fontId="44" fillId="9" borderId="0" xfId="0" applyFont="1" applyFill="1" applyBorder="1" applyAlignment="1">
      <alignment horizontal="center" vertical="center"/>
    </xf>
    <xf numFmtId="165" fontId="24" fillId="9" borderId="0" xfId="0" applyNumberFormat="1" applyFont="1" applyFill="1" applyBorder="1" applyAlignment="1">
      <alignment horizontal="left" vertical="center"/>
    </xf>
    <xf numFmtId="0" fontId="6" fillId="9" borderId="15" xfId="0" applyFont="1" applyFill="1" applyBorder="1" applyAlignment="1">
      <alignment horizontal="left" vertical="center"/>
    </xf>
    <xf numFmtId="0" fontId="6" fillId="2" borderId="15" xfId="0" applyFont="1" applyFill="1" applyBorder="1" applyAlignment="1">
      <alignment horizontal="left" vertical="center"/>
    </xf>
    <xf numFmtId="0" fontId="6" fillId="4" borderId="15" xfId="0" applyFont="1" applyFill="1" applyBorder="1" applyAlignment="1">
      <alignment horizontal="left" vertical="center"/>
    </xf>
    <xf numFmtId="0" fontId="0" fillId="0" borderId="10" xfId="0" applyFont="1" applyBorder="1" applyAlignment="1">
      <alignment horizontal="left" vertical="center"/>
    </xf>
    <xf numFmtId="0" fontId="0" fillId="2" borderId="10" xfId="0" applyFont="1" applyFill="1" applyBorder="1" applyAlignment="1">
      <alignment horizontal="left" vertical="center"/>
    </xf>
    <xf numFmtId="0" fontId="0" fillId="4" borderId="10" xfId="0" applyFont="1" applyFill="1" applyBorder="1" applyAlignment="1">
      <alignment horizontal="left" vertical="center"/>
    </xf>
    <xf numFmtId="0" fontId="6" fillId="2" borderId="0" xfId="0" applyFont="1" applyFill="1" applyAlignment="1">
      <alignment horizontal="left" vertical="center"/>
    </xf>
    <xf numFmtId="0" fontId="0" fillId="0" borderId="15" xfId="0" applyFont="1" applyBorder="1" applyAlignment="1">
      <alignment horizontal="left" vertical="center"/>
    </xf>
    <xf numFmtId="0" fontId="0" fillId="2" borderId="15" xfId="0" applyFont="1" applyFill="1" applyBorder="1" applyAlignment="1">
      <alignment horizontal="left" vertical="center"/>
    </xf>
    <xf numFmtId="0" fontId="0" fillId="4" borderId="15" xfId="0" applyFont="1" applyFill="1" applyBorder="1" applyAlignment="1">
      <alignment horizontal="left" vertical="center"/>
    </xf>
    <xf numFmtId="0" fontId="39" fillId="2" borderId="0" xfId="0" applyFont="1" applyFill="1" applyBorder="1" applyAlignment="1">
      <alignment horizontal="left" vertical="center"/>
    </xf>
    <xf numFmtId="0" fontId="39" fillId="2" borderId="5" xfId="0" applyFont="1" applyFill="1" applyBorder="1" applyAlignment="1">
      <alignment horizontal="left" vertical="center"/>
    </xf>
    <xf numFmtId="0" fontId="0" fillId="0" borderId="0" xfId="0" applyFont="1" applyBorder="1" applyAlignment="1">
      <alignment horizontal="left" vertical="center"/>
    </xf>
    <xf numFmtId="0" fontId="39" fillId="9" borderId="0" xfId="0" applyFont="1" applyFill="1" applyBorder="1" applyAlignment="1">
      <alignment horizontal="left" vertical="center"/>
    </xf>
    <xf numFmtId="0" fontId="6" fillId="9" borderId="0" xfId="0" applyFont="1" applyFill="1" applyAlignment="1">
      <alignment horizontal="left" vertical="center"/>
    </xf>
    <xf numFmtId="14" fontId="0" fillId="9" borderId="0" xfId="0" applyNumberFormat="1" applyFont="1" applyFill="1" applyBorder="1" applyAlignment="1">
      <alignment horizontal="left" vertical="center"/>
    </xf>
    <xf numFmtId="0" fontId="2" fillId="2" borderId="10" xfId="1" applyFill="1" applyBorder="1"/>
    <xf numFmtId="0" fontId="27" fillId="4" borderId="15" xfId="0" applyFont="1" applyFill="1" applyBorder="1" applyAlignment="1">
      <alignment horizontal="center"/>
    </xf>
    <xf numFmtId="0" fontId="5" fillId="4" borderId="1" xfId="1" applyFont="1" applyFill="1" applyBorder="1" applyAlignment="1">
      <alignment horizontal="center"/>
    </xf>
    <xf numFmtId="0" fontId="0" fillId="3" borderId="0" xfId="0" applyFont="1" applyFill="1" applyBorder="1" applyAlignment="1">
      <alignment horizontal="center" vertical="center"/>
    </xf>
    <xf numFmtId="0" fontId="0" fillId="0" borderId="11" xfId="0" applyFill="1" applyBorder="1" applyAlignment="1">
      <alignment horizontal="left"/>
    </xf>
    <xf numFmtId="0" fontId="8" fillId="3" borderId="0" xfId="0" applyFont="1" applyFill="1" applyBorder="1" applyAlignment="1">
      <alignment horizontal="center" vertical="center"/>
    </xf>
    <xf numFmtId="0" fontId="0" fillId="3" borderId="0" xfId="0" applyFill="1" applyBorder="1" applyAlignment="1">
      <alignment horizontal="center" vertical="center"/>
    </xf>
    <xf numFmtId="0" fontId="40" fillId="3" borderId="0" xfId="0" applyFont="1" applyFill="1" applyAlignment="1">
      <alignment horizontal="center"/>
    </xf>
    <xf numFmtId="0" fontId="15" fillId="3" borderId="0" xfId="0" applyFont="1" applyFill="1" applyBorder="1" applyAlignment="1">
      <alignment horizontal="center" vertical="center"/>
    </xf>
    <xf numFmtId="0" fontId="0" fillId="3" borderId="0" xfId="0" applyFill="1" applyBorder="1" applyAlignment="1">
      <alignment horizontal="left" vertical="top"/>
    </xf>
    <xf numFmtId="0" fontId="26" fillId="3" borderId="0" xfId="0" applyFont="1" applyFill="1" applyBorder="1" applyAlignment="1">
      <alignment horizontal="center" vertical="center"/>
    </xf>
    <xf numFmtId="0" fontId="6" fillId="9" borderId="0" xfId="0" applyFont="1" applyFill="1" applyBorder="1" applyAlignment="1">
      <alignment horizontal="left" vertical="center"/>
    </xf>
    <xf numFmtId="0" fontId="39" fillId="0" borderId="0" xfId="0" applyFont="1"/>
    <xf numFmtId="0" fontId="17" fillId="22" borderId="0" xfId="0" applyFont="1" applyFill="1" applyBorder="1" applyAlignment="1">
      <alignment horizontal="center" vertical="center"/>
    </xf>
    <xf numFmtId="0" fontId="0" fillId="2" borderId="0" xfId="0" applyFont="1" applyFill="1" applyBorder="1" applyAlignment="1">
      <alignment horizontal="center" vertical="center"/>
    </xf>
    <xf numFmtId="0" fontId="0" fillId="4" borderId="0" xfId="0" applyFont="1" applyFill="1" applyBorder="1" applyAlignment="1">
      <alignment horizontal="center" vertical="center"/>
    </xf>
    <xf numFmtId="0" fontId="31" fillId="9" borderId="21" xfId="0" applyFont="1" applyFill="1" applyBorder="1" applyAlignment="1">
      <alignment horizontal="left" vertical="center"/>
    </xf>
    <xf numFmtId="0" fontId="31" fillId="9" borderId="22" xfId="0" applyFont="1" applyFill="1" applyBorder="1" applyAlignment="1">
      <alignment horizontal="left" vertical="center"/>
    </xf>
    <xf numFmtId="0" fontId="45" fillId="9" borderId="22" xfId="0" applyFont="1" applyFill="1" applyBorder="1" applyAlignment="1">
      <alignment horizontal="left" vertical="top" textRotation="255"/>
    </xf>
    <xf numFmtId="0" fontId="0" fillId="9" borderId="22" xfId="0" applyFont="1" applyFill="1" applyBorder="1" applyAlignment="1">
      <alignment horizontal="center" vertical="center"/>
    </xf>
    <xf numFmtId="0" fontId="0" fillId="3" borderId="22" xfId="0" applyFont="1" applyFill="1" applyBorder="1" applyAlignment="1">
      <alignment horizontal="center" vertical="center"/>
    </xf>
    <xf numFmtId="0" fontId="0" fillId="0" borderId="22" xfId="0" applyFont="1" applyBorder="1" applyAlignment="1">
      <alignment horizontal="center" vertical="center"/>
    </xf>
    <xf numFmtId="0" fontId="46" fillId="9" borderId="0" xfId="0" applyFont="1" applyFill="1" applyBorder="1" applyAlignment="1">
      <alignment horizontal="left" vertical="center"/>
    </xf>
    <xf numFmtId="0" fontId="46" fillId="3" borderId="0" xfId="0" applyFont="1" applyFill="1" applyBorder="1" applyAlignment="1">
      <alignment horizontal="left" vertical="center"/>
    </xf>
    <xf numFmtId="0" fontId="0" fillId="2" borderId="10" xfId="0" applyFill="1" applyBorder="1" applyAlignment="1">
      <alignment horizontal="left"/>
    </xf>
    <xf numFmtId="0" fontId="27" fillId="4" borderId="15" xfId="0" applyFont="1" applyFill="1" applyBorder="1" applyAlignment="1">
      <alignment horizontal="left"/>
    </xf>
    <xf numFmtId="0" fontId="5" fillId="4" borderId="8" xfId="0" applyFont="1" applyFill="1" applyBorder="1" applyAlignment="1">
      <alignment horizontal="left"/>
    </xf>
    <xf numFmtId="0" fontId="5" fillId="4" borderId="6" xfId="0" applyFont="1" applyFill="1" applyBorder="1" applyAlignment="1">
      <alignment horizontal="left"/>
    </xf>
    <xf numFmtId="0" fontId="0" fillId="0" borderId="10" xfId="0" applyFont="1" applyBorder="1" applyAlignment="1">
      <alignment horizontal="center" vertical="center"/>
    </xf>
    <xf numFmtId="0" fontId="47" fillId="0" borderId="11" xfId="0" applyFont="1" applyBorder="1" applyAlignment="1">
      <alignment horizontal="left" vertical="center"/>
    </xf>
    <xf numFmtId="0" fontId="38" fillId="0" borderId="11" xfId="0" applyFont="1" applyBorder="1" applyAlignment="1">
      <alignment horizontal="left" vertical="center"/>
    </xf>
    <xf numFmtId="0" fontId="48" fillId="2" borderId="0" xfId="0" applyFont="1" applyFill="1" applyAlignment="1">
      <alignment horizontal="center" vertical="center"/>
    </xf>
    <xf numFmtId="0" fontId="6" fillId="3" borderId="0" xfId="0" applyFont="1" applyFill="1" applyBorder="1" applyAlignment="1">
      <alignment horizontal="center" vertical="center"/>
    </xf>
    <xf numFmtId="0" fontId="6" fillId="0" borderId="10" xfId="0" applyFont="1" applyFill="1" applyBorder="1" applyAlignment="1">
      <alignment horizontal="center" vertical="center"/>
    </xf>
    <xf numFmtId="0" fontId="38" fillId="3" borderId="11" xfId="0" applyFont="1" applyFill="1" applyBorder="1" applyAlignment="1">
      <alignment horizontal="left" vertical="center"/>
    </xf>
    <xf numFmtId="0" fontId="47" fillId="3" borderId="11" xfId="0" applyFont="1" applyFill="1" applyBorder="1" applyAlignment="1">
      <alignment horizontal="left" vertical="center"/>
    </xf>
    <xf numFmtId="0" fontId="42" fillId="9" borderId="23" xfId="0" applyFont="1" applyFill="1" applyBorder="1" applyAlignment="1">
      <alignment horizontal="center" vertical="center"/>
    </xf>
    <xf numFmtId="49" fontId="41" fillId="9" borderId="25" xfId="0" applyNumberFormat="1" applyFont="1" applyFill="1" applyBorder="1" applyAlignment="1">
      <alignment horizontal="left" vertical="center"/>
    </xf>
    <xf numFmtId="0" fontId="32" fillId="9" borderId="25" xfId="0" applyFont="1" applyFill="1" applyBorder="1" applyAlignment="1">
      <alignment horizontal="center" vertical="center"/>
    </xf>
    <xf numFmtId="0" fontId="41" fillId="9" borderId="25" xfId="0" applyFont="1" applyFill="1" applyBorder="1" applyAlignment="1">
      <alignment horizontal="left" vertical="center"/>
    </xf>
    <xf numFmtId="0" fontId="52" fillId="9" borderId="0" xfId="0" applyFont="1" applyFill="1" applyBorder="1" applyAlignment="1">
      <alignment horizontal="left" vertical="center"/>
    </xf>
    <xf numFmtId="0" fontId="53" fillId="9" borderId="0" xfId="0" applyFont="1" applyFill="1" applyBorder="1" applyAlignment="1">
      <alignment horizontal="left" vertical="center"/>
    </xf>
    <xf numFmtId="0" fontId="53" fillId="3" borderId="0" xfId="0" applyFont="1" applyFill="1" applyBorder="1" applyAlignment="1">
      <alignment horizontal="left" vertical="center"/>
    </xf>
    <xf numFmtId="0" fontId="53" fillId="0" borderId="0" xfId="0" applyFont="1" applyBorder="1" applyAlignment="1">
      <alignment horizontal="left" vertical="center"/>
    </xf>
    <xf numFmtId="0" fontId="27" fillId="23" borderId="17" xfId="0" applyFont="1" applyFill="1" applyBorder="1" applyAlignment="1">
      <alignment horizontal="left" vertical="center"/>
    </xf>
    <xf numFmtId="0" fontId="27" fillId="23" borderId="6" xfId="0" applyFont="1" applyFill="1" applyBorder="1" applyAlignment="1">
      <alignment horizontal="left" vertical="center"/>
    </xf>
    <xf numFmtId="0" fontId="54" fillId="11" borderId="17" xfId="0" applyFont="1" applyFill="1" applyBorder="1" applyAlignment="1">
      <alignment horizontal="left" vertical="top"/>
    </xf>
    <xf numFmtId="0" fontId="54" fillId="10" borderId="6" xfId="0" applyFont="1" applyFill="1" applyBorder="1" applyAlignment="1">
      <alignment horizontal="left" vertical="top"/>
    </xf>
    <xf numFmtId="0" fontId="54" fillId="9" borderId="6" xfId="0" applyFont="1" applyFill="1" applyBorder="1" applyAlignment="1">
      <alignment horizontal="left" vertical="top"/>
    </xf>
    <xf numFmtId="0" fontId="54" fillId="12" borderId="6" xfId="0" applyFont="1" applyFill="1" applyBorder="1" applyAlignment="1">
      <alignment horizontal="left" vertical="top"/>
    </xf>
    <xf numFmtId="0" fontId="13" fillId="11" borderId="12" xfId="0" applyFont="1" applyFill="1" applyBorder="1" applyAlignment="1">
      <alignment horizontal="right" vertical="top" textRotation="255"/>
    </xf>
    <xf numFmtId="0" fontId="13" fillId="10" borderId="0" xfId="0" applyFont="1" applyFill="1" applyBorder="1" applyAlignment="1">
      <alignment horizontal="right" vertical="top" textRotation="255"/>
    </xf>
    <xf numFmtId="0" fontId="14" fillId="9" borderId="0" xfId="0" applyFont="1" applyFill="1" applyBorder="1" applyAlignment="1">
      <alignment horizontal="right" vertical="top" textRotation="255"/>
    </xf>
    <xf numFmtId="0" fontId="13" fillId="12" borderId="0" xfId="0" applyFont="1" applyFill="1" applyBorder="1" applyAlignment="1">
      <alignment horizontal="right" vertical="top" textRotation="255"/>
    </xf>
    <xf numFmtId="0" fontId="37" fillId="11" borderId="12" xfId="0" applyFont="1" applyFill="1" applyBorder="1" applyAlignment="1">
      <alignment horizontal="right" vertical="top" textRotation="255"/>
    </xf>
    <xf numFmtId="0" fontId="37" fillId="10" borderId="0" xfId="0" applyFont="1" applyFill="1" applyBorder="1" applyAlignment="1">
      <alignment horizontal="right" vertical="top" textRotation="255"/>
    </xf>
    <xf numFmtId="0" fontId="37" fillId="9" borderId="0" xfId="0" applyFont="1" applyFill="1" applyBorder="1" applyAlignment="1">
      <alignment horizontal="right" vertical="top" textRotation="255"/>
    </xf>
    <xf numFmtId="0" fontId="37" fillId="12" borderId="0" xfId="0" applyFont="1" applyFill="1" applyBorder="1" applyAlignment="1">
      <alignment horizontal="right" vertical="top" textRotation="255"/>
    </xf>
    <xf numFmtId="0" fontId="57" fillId="18" borderId="0" xfId="0" applyFont="1" applyFill="1" applyBorder="1" applyAlignment="1">
      <alignment horizontal="left" vertical="center"/>
    </xf>
    <xf numFmtId="0" fontId="56" fillId="9" borderId="0" xfId="0" applyFont="1" applyFill="1" applyBorder="1" applyAlignment="1">
      <alignment horizontal="left" vertical="center"/>
    </xf>
    <xf numFmtId="0" fontId="58" fillId="24" borderId="0" xfId="0" applyFont="1" applyFill="1" applyBorder="1" applyAlignment="1">
      <alignment horizontal="left" vertical="center"/>
    </xf>
    <xf numFmtId="0" fontId="28" fillId="16" borderId="0" xfId="0" applyFont="1" applyFill="1" applyBorder="1" applyAlignment="1">
      <alignment horizontal="left" vertical="center"/>
    </xf>
    <xf numFmtId="0" fontId="28" fillId="5" borderId="0" xfId="0" applyFont="1" applyFill="1" applyBorder="1" applyAlignment="1">
      <alignment horizontal="left" vertical="center"/>
    </xf>
    <xf numFmtId="0" fontId="28" fillId="25" borderId="0" xfId="0" applyFont="1" applyFill="1" applyBorder="1" applyAlignment="1">
      <alignment horizontal="left" vertical="center"/>
    </xf>
    <xf numFmtId="0" fontId="59" fillId="0" borderId="10" xfId="0" applyFont="1" applyBorder="1" applyAlignment="1">
      <alignment horizontal="left" vertical="center"/>
    </xf>
    <xf numFmtId="0" fontId="8" fillId="0" borderId="0" xfId="0" applyFont="1" applyAlignment="1">
      <alignment vertical="top"/>
    </xf>
    <xf numFmtId="0" fontId="60" fillId="0" borderId="10" xfId="0" applyFont="1" applyBorder="1" applyAlignment="1">
      <alignment horizontal="left" vertical="center"/>
    </xf>
    <xf numFmtId="0" fontId="61" fillId="0" borderId="11" xfId="0" applyFont="1" applyBorder="1" applyAlignment="1">
      <alignment horizontal="left" vertical="top"/>
    </xf>
    <xf numFmtId="0" fontId="61" fillId="0" borderId="11" xfId="0" applyFont="1" applyFill="1" applyBorder="1" applyAlignment="1">
      <alignment horizontal="left" vertical="top"/>
    </xf>
    <xf numFmtId="0" fontId="60" fillId="0" borderId="11" xfId="0" applyFont="1" applyBorder="1" applyAlignment="1">
      <alignment horizontal="left" vertical="top"/>
    </xf>
    <xf numFmtId="0" fontId="8" fillId="0" borderId="0" xfId="0" applyFont="1" applyAlignment="1">
      <alignment vertical="top" wrapText="1"/>
    </xf>
    <xf numFmtId="0" fontId="8" fillId="0" borderId="10" xfId="0" applyFont="1" applyBorder="1" applyAlignment="1">
      <alignment horizontal="center" vertical="top"/>
    </xf>
    <xf numFmtId="0" fontId="26" fillId="0" borderId="11" xfId="0" applyFont="1" applyBorder="1" applyAlignment="1">
      <alignment vertical="center"/>
    </xf>
    <xf numFmtId="0" fontId="26" fillId="0" borderId="11" xfId="0" applyFont="1" applyBorder="1" applyAlignment="1">
      <alignment horizontal="left" vertical="center"/>
    </xf>
    <xf numFmtId="0" fontId="26" fillId="3" borderId="11" xfId="0" applyFont="1" applyFill="1" applyBorder="1" applyAlignment="1">
      <alignment vertical="center"/>
    </xf>
    <xf numFmtId="0" fontId="8" fillId="2" borderId="10" xfId="0" applyFont="1" applyFill="1" applyBorder="1" applyAlignment="1">
      <alignment horizontal="center" vertical="top"/>
    </xf>
    <xf numFmtId="0" fontId="60" fillId="0" borderId="0" xfId="0" applyFont="1" applyBorder="1" applyAlignment="1">
      <alignment horizontal="left" vertical="top"/>
    </xf>
    <xf numFmtId="0" fontId="8" fillId="0" borderId="0" xfId="0" applyFont="1" applyBorder="1" applyAlignment="1">
      <alignment horizontal="center" vertical="top"/>
    </xf>
    <xf numFmtId="0" fontId="60" fillId="2" borderId="11" xfId="0" applyFont="1" applyFill="1" applyBorder="1" applyAlignment="1">
      <alignment horizontal="left" vertical="top"/>
    </xf>
    <xf numFmtId="0" fontId="26" fillId="2" borderId="11" xfId="0" applyFont="1" applyFill="1" applyBorder="1" applyAlignment="1">
      <alignment horizontal="left" vertical="center"/>
    </xf>
    <xf numFmtId="0" fontId="38" fillId="2" borderId="11" xfId="0" applyFont="1" applyFill="1" applyBorder="1" applyAlignment="1">
      <alignment horizontal="left" vertical="center"/>
    </xf>
    <xf numFmtId="0" fontId="38" fillId="24" borderId="11" xfId="0" applyFont="1" applyFill="1" applyBorder="1" applyAlignment="1">
      <alignment horizontal="left" vertical="center"/>
    </xf>
    <xf numFmtId="0" fontId="38" fillId="0" borderId="11" xfId="0" applyFont="1" applyFill="1" applyBorder="1" applyAlignment="1">
      <alignment horizontal="left" vertical="center"/>
    </xf>
    <xf numFmtId="0" fontId="11" fillId="0" borderId="10" xfId="0" applyFont="1" applyBorder="1" applyAlignment="1">
      <alignment vertical="center" textRotation="90"/>
    </xf>
    <xf numFmtId="0" fontId="26" fillId="24" borderId="11" xfId="0" applyFont="1" applyFill="1" applyBorder="1" applyAlignment="1">
      <alignment horizontal="left" vertical="center"/>
    </xf>
    <xf numFmtId="0" fontId="26" fillId="0" borderId="11" xfId="0" applyFont="1" applyFill="1" applyBorder="1" applyAlignment="1">
      <alignment horizontal="left" vertical="center"/>
    </xf>
    <xf numFmtId="0" fontId="26" fillId="0" borderId="11" xfId="0" applyFont="1" applyFill="1" applyBorder="1" applyAlignment="1">
      <alignment vertical="center"/>
    </xf>
    <xf numFmtId="0" fontId="26" fillId="24" borderId="11" xfId="0" applyFont="1" applyFill="1" applyBorder="1" applyAlignment="1">
      <alignment vertical="center"/>
    </xf>
    <xf numFmtId="0" fontId="62" fillId="0" borderId="11" xfId="0" applyFont="1" applyFill="1" applyBorder="1" applyAlignment="1">
      <alignment horizontal="left" vertical="center"/>
    </xf>
    <xf numFmtId="0" fontId="62" fillId="2" borderId="11" xfId="0" applyFont="1" applyFill="1" applyBorder="1" applyAlignment="1">
      <alignment horizontal="left" vertical="center"/>
    </xf>
    <xf numFmtId="0" fontId="62" fillId="24" borderId="11" xfId="0" applyFont="1" applyFill="1" applyBorder="1" applyAlignment="1">
      <alignment horizontal="left" vertical="center"/>
    </xf>
    <xf numFmtId="0" fontId="63" fillId="3" borderId="11" xfId="0" applyFont="1" applyFill="1" applyBorder="1" applyAlignment="1">
      <alignment horizontal="left" vertical="center"/>
    </xf>
    <xf numFmtId="0" fontId="63" fillId="0" borderId="11" xfId="0" applyFont="1" applyFill="1" applyBorder="1" applyAlignment="1">
      <alignment horizontal="left" vertical="center"/>
    </xf>
    <xf numFmtId="0" fontId="63" fillId="2" borderId="11" xfId="0" applyFont="1" applyFill="1" applyBorder="1" applyAlignment="1">
      <alignment horizontal="left" vertical="center"/>
    </xf>
    <xf numFmtId="0" fontId="63" fillId="24" borderId="11" xfId="0" applyFont="1" applyFill="1" applyBorder="1" applyAlignment="1">
      <alignment horizontal="left" vertical="center"/>
    </xf>
    <xf numFmtId="0" fontId="57" fillId="17" borderId="0" xfId="0" applyFont="1" applyFill="1" applyBorder="1" applyAlignment="1">
      <alignment horizontal="right" vertical="center"/>
    </xf>
    <xf numFmtId="0" fontId="57" fillId="21" borderId="0" xfId="0" applyFont="1" applyFill="1" applyBorder="1" applyAlignment="1">
      <alignment horizontal="right" vertical="center"/>
    </xf>
    <xf numFmtId="0" fontId="26" fillId="3" borderId="11" xfId="0" applyFont="1" applyFill="1" applyBorder="1" applyAlignment="1">
      <alignment horizontal="left" vertical="center"/>
    </xf>
    <xf numFmtId="0" fontId="62" fillId="3" borderId="11" xfId="0" applyFont="1" applyFill="1" applyBorder="1" applyAlignment="1">
      <alignment horizontal="left" vertical="center"/>
    </xf>
    <xf numFmtId="0" fontId="26" fillId="27" borderId="11" xfId="0" applyFont="1" applyFill="1" applyBorder="1" applyAlignment="1">
      <alignment horizontal="left" vertical="center"/>
    </xf>
    <xf numFmtId="0" fontId="38" fillId="27" borderId="11" xfId="0" applyFont="1" applyFill="1" applyBorder="1" applyAlignment="1">
      <alignment horizontal="left" vertical="center"/>
    </xf>
    <xf numFmtId="0" fontId="63" fillId="27" borderId="11" xfId="0" applyFont="1" applyFill="1" applyBorder="1" applyAlignment="1">
      <alignment horizontal="left" vertical="center"/>
    </xf>
    <xf numFmtId="0" fontId="27" fillId="28" borderId="0" xfId="0" applyFont="1" applyFill="1" applyBorder="1" applyAlignment="1">
      <alignment horizontal="left" vertical="center"/>
    </xf>
    <xf numFmtId="0" fontId="29" fillId="3" borderId="0" xfId="0" applyFont="1" applyFill="1" applyBorder="1" applyAlignment="1">
      <alignment horizontal="left" vertical="center"/>
    </xf>
    <xf numFmtId="0" fontId="27" fillId="4" borderId="6" xfId="0" applyFont="1" applyFill="1" applyBorder="1" applyAlignment="1">
      <alignment horizontal="left"/>
    </xf>
    <xf numFmtId="2" fontId="0" fillId="0" borderId="0" xfId="0" applyNumberFormat="1"/>
    <xf numFmtId="2" fontId="27" fillId="4" borderId="6" xfId="0" applyNumberFormat="1" applyFont="1" applyFill="1" applyBorder="1" applyAlignment="1">
      <alignment horizontal="left"/>
    </xf>
    <xf numFmtId="0" fontId="39" fillId="2" borderId="21" xfId="0" applyFont="1" applyFill="1" applyBorder="1" applyAlignment="1">
      <alignment horizontal="left" vertical="center"/>
    </xf>
    <xf numFmtId="0" fontId="6" fillId="2" borderId="15" xfId="0" applyFont="1" applyFill="1" applyBorder="1" applyAlignment="1">
      <alignment horizontal="center" vertical="center"/>
    </xf>
    <xf numFmtId="0" fontId="39" fillId="2" borderId="6" xfId="0" applyFont="1" applyFill="1" applyBorder="1" applyAlignment="1">
      <alignment horizontal="center" vertical="center"/>
    </xf>
    <xf numFmtId="166" fontId="39" fillId="2" borderId="16" xfId="0" applyNumberFormat="1" applyFont="1" applyFill="1" applyBorder="1" applyAlignment="1">
      <alignment horizontal="center" vertical="center"/>
    </xf>
    <xf numFmtId="2" fontId="6" fillId="2" borderId="15" xfId="0" applyNumberFormat="1" applyFont="1" applyFill="1" applyBorder="1" applyAlignment="1">
      <alignment horizontal="center" vertical="center"/>
    </xf>
    <xf numFmtId="0" fontId="64" fillId="0" borderId="27" xfId="0" applyFont="1" applyFill="1" applyBorder="1" applyAlignment="1">
      <alignment horizontal="center" vertical="center"/>
    </xf>
    <xf numFmtId="0" fontId="0" fillId="3" borderId="21" xfId="0" applyFill="1" applyBorder="1" applyAlignment="1">
      <alignment vertical="center"/>
    </xf>
    <xf numFmtId="0" fontId="0" fillId="3" borderId="22" xfId="0" applyFill="1" applyBorder="1" applyAlignment="1">
      <alignment vertical="center"/>
    </xf>
    <xf numFmtId="0" fontId="0" fillId="3" borderId="22" xfId="0" applyFill="1" applyBorder="1" applyAlignment="1">
      <alignment horizontal="center" vertical="center"/>
    </xf>
    <xf numFmtId="0" fontId="0" fillId="3" borderId="27" xfId="0" applyFill="1" applyBorder="1" applyAlignment="1">
      <alignment vertical="center"/>
    </xf>
    <xf numFmtId="0" fontId="0" fillId="15" borderId="0" xfId="0" applyFill="1" applyAlignment="1">
      <alignment vertical="center"/>
    </xf>
    <xf numFmtId="22" fontId="0" fillId="15" borderId="0" xfId="0" applyNumberFormat="1" applyFill="1" applyAlignment="1">
      <alignment vertical="center"/>
    </xf>
    <xf numFmtId="0" fontId="34" fillId="0" borderId="0" xfId="0" applyFont="1" applyFill="1" applyBorder="1" applyAlignment="1">
      <alignment horizontal="center" vertical="center"/>
    </xf>
    <xf numFmtId="0" fontId="34" fillId="0" borderId="0" xfId="0" applyNumberFormat="1" applyFont="1" applyFill="1" applyBorder="1" applyAlignment="1">
      <alignment horizontal="center" vertical="center"/>
    </xf>
    <xf numFmtId="0" fontId="34" fillId="0" borderId="0" xfId="0" applyFont="1" applyFill="1" applyAlignment="1">
      <alignment horizontal="center" vertical="center"/>
    </xf>
    <xf numFmtId="20" fontId="0" fillId="15" borderId="0" xfId="0" applyNumberFormat="1" applyFill="1" applyAlignment="1">
      <alignment horizontal="center" vertical="center"/>
    </xf>
    <xf numFmtId="0" fontId="23" fillId="0" borderId="0" xfId="0" applyFont="1" applyAlignment="1">
      <alignment vertical="center"/>
    </xf>
    <xf numFmtId="0" fontId="0" fillId="30" borderId="0" xfId="0" applyFill="1"/>
    <xf numFmtId="0" fontId="5" fillId="31" borderId="0" xfId="0" applyFont="1" applyFill="1"/>
    <xf numFmtId="0" fontId="0" fillId="32" borderId="0" xfId="0" applyFill="1"/>
    <xf numFmtId="0" fontId="39" fillId="0" borderId="9" xfId="0" applyFont="1" applyBorder="1" applyAlignment="1">
      <alignment horizontal="left" vertical="center"/>
    </xf>
    <xf numFmtId="0" fontId="39" fillId="0" borderId="16" xfId="0" applyFont="1" applyBorder="1" applyAlignment="1">
      <alignment horizontal="left" vertical="center"/>
    </xf>
    <xf numFmtId="0" fontId="64" fillId="0" borderId="21" xfId="0" applyFont="1" applyFill="1" applyBorder="1" applyAlignment="1">
      <alignment horizontal="center" vertical="center"/>
    </xf>
    <xf numFmtId="0" fontId="64" fillId="0" borderId="22" xfId="0" applyFont="1" applyFill="1" applyBorder="1" applyAlignment="1">
      <alignment horizontal="center" vertical="center"/>
    </xf>
    <xf numFmtId="0" fontId="6" fillId="11" borderId="10" xfId="0" applyFont="1" applyFill="1" applyBorder="1" applyAlignment="1">
      <alignment horizontal="center" vertical="center"/>
    </xf>
    <xf numFmtId="0" fontId="6" fillId="10" borderId="10" xfId="0" applyFont="1" applyFill="1" applyBorder="1" applyAlignment="1">
      <alignment horizontal="center" vertical="center"/>
    </xf>
    <xf numFmtId="20" fontId="6" fillId="9" borderId="10" xfId="0" applyNumberFormat="1" applyFont="1" applyFill="1" applyBorder="1" applyAlignment="1">
      <alignment horizontal="center" vertical="center"/>
    </xf>
    <xf numFmtId="0" fontId="6" fillId="12" borderId="10" xfId="0" applyFont="1" applyFill="1" applyBorder="1" applyAlignment="1">
      <alignment horizontal="center" vertical="center"/>
    </xf>
    <xf numFmtId="20" fontId="51" fillId="29" borderId="0" xfId="0" applyNumberFormat="1" applyFont="1" applyFill="1" applyAlignment="1">
      <alignment horizontal="center" vertical="center"/>
    </xf>
    <xf numFmtId="165" fontId="67" fillId="9" borderId="0" xfId="0" applyNumberFormat="1" applyFont="1" applyFill="1" applyBorder="1" applyAlignment="1">
      <alignment horizontal="left" vertical="center"/>
    </xf>
    <xf numFmtId="0" fontId="69" fillId="21" borderId="0" xfId="0" applyFont="1" applyFill="1" applyBorder="1" applyAlignment="1">
      <alignment horizontal="center" vertical="center"/>
    </xf>
    <xf numFmtId="0" fontId="70" fillId="17" borderId="0" xfId="0" applyFont="1" applyFill="1" applyBorder="1" applyAlignment="1">
      <alignment vertical="center"/>
    </xf>
    <xf numFmtId="0" fontId="72" fillId="18" borderId="0" xfId="0" applyFont="1" applyFill="1" applyBorder="1" applyAlignment="1">
      <alignment horizontal="left" vertical="center"/>
    </xf>
    <xf numFmtId="0" fontId="73" fillId="17" borderId="0" xfId="0" applyFont="1" applyFill="1" applyBorder="1" applyAlignment="1">
      <alignment horizontal="center" vertical="center"/>
    </xf>
    <xf numFmtId="0" fontId="74" fillId="9" borderId="0" xfId="0" applyFont="1" applyFill="1" applyBorder="1" applyAlignment="1">
      <alignment horizontal="center" vertical="center"/>
    </xf>
    <xf numFmtId="0" fontId="74" fillId="0" borderId="0" xfId="0" applyFont="1" applyBorder="1" applyAlignment="1">
      <alignment horizontal="center" vertical="center"/>
    </xf>
    <xf numFmtId="166" fontId="76" fillId="21" borderId="0" xfId="0" applyNumberFormat="1" applyFont="1" applyFill="1" applyBorder="1" applyAlignment="1">
      <alignment horizontal="left" vertical="center"/>
    </xf>
    <xf numFmtId="166" fontId="76" fillId="17" borderId="0" xfId="0" applyNumberFormat="1" applyFont="1" applyFill="1" applyBorder="1" applyAlignment="1">
      <alignment horizontal="right" vertical="center"/>
    </xf>
    <xf numFmtId="166" fontId="76" fillId="18" borderId="0" xfId="0" applyNumberFormat="1" applyFont="1" applyFill="1" applyBorder="1" applyAlignment="1">
      <alignment horizontal="left" vertical="center"/>
    </xf>
    <xf numFmtId="0" fontId="76" fillId="21" borderId="0" xfId="0" applyFont="1" applyFill="1" applyBorder="1" applyAlignment="1">
      <alignment horizontal="center" vertical="center"/>
    </xf>
    <xf numFmtId="0" fontId="76" fillId="17" borderId="0" xfId="0" applyFont="1" applyFill="1" applyBorder="1" applyAlignment="1">
      <alignment horizontal="center" vertical="top"/>
    </xf>
    <xf numFmtId="0" fontId="76" fillId="18" borderId="0" xfId="0" applyFont="1" applyFill="1" applyBorder="1" applyAlignment="1">
      <alignment horizontal="left" vertical="center"/>
    </xf>
    <xf numFmtId="0" fontId="77" fillId="9" borderId="0" xfId="0" applyFont="1" applyFill="1" applyBorder="1" applyAlignment="1">
      <alignment horizontal="center" vertical="center"/>
    </xf>
    <xf numFmtId="0" fontId="77" fillId="0" borderId="0" xfId="0" applyFont="1" applyBorder="1" applyAlignment="1">
      <alignment horizontal="center" vertical="center"/>
    </xf>
    <xf numFmtId="0" fontId="78" fillId="11" borderId="0" xfId="0" applyFont="1" applyFill="1" applyBorder="1" applyAlignment="1">
      <alignment horizontal="center" vertical="center"/>
    </xf>
    <xf numFmtId="0" fontId="78" fillId="10" borderId="0" xfId="0" applyFont="1" applyFill="1" applyBorder="1" applyAlignment="1">
      <alignment horizontal="center" vertical="center"/>
    </xf>
    <xf numFmtId="20" fontId="78" fillId="9" borderId="0" xfId="0" applyNumberFormat="1" applyFont="1" applyFill="1" applyBorder="1" applyAlignment="1">
      <alignment horizontal="center" vertical="center"/>
    </xf>
    <xf numFmtId="0" fontId="78" fillId="12" borderId="0" xfId="0" applyFont="1" applyFill="1" applyBorder="1" applyAlignment="1">
      <alignment horizontal="center" vertical="center"/>
    </xf>
    <xf numFmtId="0" fontId="77" fillId="9" borderId="0" xfId="0" applyFont="1" applyFill="1" applyBorder="1" applyAlignment="1">
      <alignment horizontal="center"/>
    </xf>
    <xf numFmtId="0" fontId="77" fillId="9" borderId="0" xfId="0" applyFont="1" applyFill="1" applyAlignment="1">
      <alignment horizontal="center"/>
    </xf>
    <xf numFmtId="20" fontId="79" fillId="9" borderId="23" xfId="0" applyNumberFormat="1" applyFont="1" applyFill="1" applyBorder="1" applyAlignment="1">
      <alignment horizontal="center" vertical="center"/>
    </xf>
    <xf numFmtId="0" fontId="80" fillId="9" borderId="24" xfId="0" applyFont="1" applyFill="1" applyBorder="1" applyAlignment="1">
      <alignment horizontal="center" vertical="center" wrapText="1"/>
    </xf>
    <xf numFmtId="0" fontId="72" fillId="20" borderId="0" xfId="0" applyFont="1" applyFill="1" applyBorder="1" applyAlignment="1">
      <alignment horizontal="left" vertical="center"/>
    </xf>
    <xf numFmtId="0" fontId="72" fillId="19" borderId="0" xfId="0" applyFont="1" applyFill="1" applyBorder="1" applyAlignment="1">
      <alignment horizontal="left" vertical="center"/>
    </xf>
    <xf numFmtId="0" fontId="69" fillId="9" borderId="0" xfId="0" applyFont="1" applyFill="1" applyBorder="1" applyAlignment="1">
      <alignment horizontal="center" vertical="center"/>
    </xf>
    <xf numFmtId="0" fontId="69" fillId="0" borderId="0" xfId="0" applyFont="1" applyBorder="1" applyAlignment="1">
      <alignment horizontal="center" vertical="center"/>
    </xf>
    <xf numFmtId="0" fontId="84" fillId="0" borderId="0" xfId="0" applyFont="1" applyBorder="1" applyAlignment="1">
      <alignment horizontal="left" vertical="center"/>
    </xf>
    <xf numFmtId="0" fontId="85" fillId="9" borderId="0" xfId="0" applyFont="1" applyFill="1" applyBorder="1" applyAlignment="1">
      <alignment horizontal="right" vertical="center"/>
    </xf>
    <xf numFmtId="0" fontId="86" fillId="11" borderId="12" xfId="0" applyNumberFormat="1" applyFont="1" applyFill="1" applyBorder="1" applyAlignment="1">
      <alignment vertical="center"/>
    </xf>
    <xf numFmtId="0" fontId="86" fillId="10" borderId="0" xfId="0" applyNumberFormat="1" applyFont="1" applyFill="1" applyBorder="1" applyAlignment="1">
      <alignment vertical="center"/>
    </xf>
    <xf numFmtId="0" fontId="84" fillId="9" borderId="0" xfId="0" applyFont="1" applyFill="1" applyBorder="1" applyAlignment="1">
      <alignment horizontal="left" vertical="center"/>
    </xf>
    <xf numFmtId="0" fontId="87" fillId="3" borderId="0" xfId="0" applyFont="1" applyFill="1" applyBorder="1" applyAlignment="1">
      <alignment horizontal="center" vertical="center"/>
    </xf>
    <xf numFmtId="0" fontId="84" fillId="9" borderId="12" xfId="0" applyFont="1" applyFill="1" applyBorder="1" applyAlignment="1">
      <alignment horizontal="left" vertical="center"/>
    </xf>
    <xf numFmtId="0" fontId="72" fillId="9" borderId="0" xfId="0" applyFont="1" applyFill="1" applyBorder="1" applyAlignment="1">
      <alignment vertical="center"/>
    </xf>
    <xf numFmtId="0" fontId="88" fillId="9" borderId="0" xfId="0" applyFont="1" applyFill="1" applyBorder="1" applyAlignment="1">
      <alignment vertical="center"/>
    </xf>
    <xf numFmtId="0" fontId="86" fillId="9" borderId="0" xfId="0" applyNumberFormat="1" applyFont="1" applyFill="1" applyBorder="1" applyAlignment="1">
      <alignment vertical="center"/>
    </xf>
    <xf numFmtId="0" fontId="86" fillId="12" borderId="0" xfId="0" applyNumberFormat="1" applyFont="1" applyFill="1" applyBorder="1" applyAlignment="1">
      <alignment vertical="center"/>
    </xf>
    <xf numFmtId="0" fontId="88" fillId="9" borderId="3" xfId="0" applyFont="1" applyFill="1" applyBorder="1" applyAlignment="1">
      <alignment vertical="center"/>
    </xf>
    <xf numFmtId="0" fontId="88" fillId="0" borderId="0" xfId="0" applyFont="1" applyBorder="1" applyAlignment="1">
      <alignment vertical="center"/>
    </xf>
    <xf numFmtId="0" fontId="76" fillId="9" borderId="0" xfId="0" applyFont="1" applyFill="1" applyBorder="1" applyAlignment="1">
      <alignment horizontal="left" vertical="center"/>
    </xf>
    <xf numFmtId="0" fontId="89" fillId="11" borderId="12" xfId="0" applyFont="1" applyFill="1" applyBorder="1" applyAlignment="1">
      <alignment horizontal="left" vertical="top" textRotation="255"/>
    </xf>
    <xf numFmtId="0" fontId="77" fillId="10" borderId="0" xfId="0" applyFont="1" applyFill="1" applyBorder="1" applyAlignment="1">
      <alignment horizontal="center" vertical="center"/>
    </xf>
    <xf numFmtId="0" fontId="89" fillId="12" borderId="0" xfId="0" applyFont="1" applyFill="1" applyBorder="1" applyAlignment="1">
      <alignment horizontal="left" vertical="top" textRotation="255"/>
    </xf>
    <xf numFmtId="0" fontId="77" fillId="9" borderId="3" xfId="0" applyFont="1" applyFill="1" applyBorder="1" applyAlignment="1">
      <alignment horizontal="center" vertical="center"/>
    </xf>
    <xf numFmtId="0" fontId="72" fillId="9" borderId="0" xfId="0" applyFont="1" applyFill="1" applyBorder="1" applyAlignment="1">
      <alignment horizontal="left" vertical="top"/>
    </xf>
    <xf numFmtId="0" fontId="88" fillId="9" borderId="0" xfId="0" applyFont="1" applyFill="1" applyBorder="1" applyAlignment="1">
      <alignment horizontal="left" vertical="top"/>
    </xf>
    <xf numFmtId="0" fontId="90" fillId="26" borderId="12" xfId="0" applyFont="1" applyFill="1" applyBorder="1" applyAlignment="1">
      <alignment horizontal="center" vertical="top" textRotation="255"/>
    </xf>
    <xf numFmtId="0" fontId="90" fillId="26" borderId="0" xfId="0" applyFont="1" applyFill="1" applyBorder="1" applyAlignment="1">
      <alignment horizontal="center" vertical="top" textRotation="255"/>
    </xf>
    <xf numFmtId="0" fontId="88" fillId="9" borderId="3" xfId="0" applyFont="1" applyFill="1" applyBorder="1" applyAlignment="1">
      <alignment horizontal="left" vertical="top"/>
    </xf>
    <xf numFmtId="0" fontId="88" fillId="0" borderId="0" xfId="0" applyFont="1" applyBorder="1" applyAlignment="1">
      <alignment horizontal="left" vertical="top"/>
    </xf>
    <xf numFmtId="0" fontId="91" fillId="11" borderId="12" xfId="0" applyFont="1" applyFill="1" applyBorder="1" applyAlignment="1">
      <alignment horizontal="center" vertical="top" textRotation="255"/>
    </xf>
    <xf numFmtId="0" fontId="91" fillId="10" borderId="0" xfId="0" applyFont="1" applyFill="1" applyBorder="1" applyAlignment="1">
      <alignment horizontal="center" vertical="top" textRotation="255"/>
    </xf>
    <xf numFmtId="0" fontId="91" fillId="9" borderId="0" xfId="0" applyFont="1" applyFill="1" applyBorder="1" applyAlignment="1">
      <alignment horizontal="center" vertical="top" textRotation="255"/>
    </xf>
    <xf numFmtId="0" fontId="91" fillId="12" borderId="0" xfId="0" applyFont="1" applyFill="1" applyBorder="1" applyAlignment="1">
      <alignment horizontal="center" vertical="top" textRotation="255"/>
    </xf>
    <xf numFmtId="0" fontId="72" fillId="9" borderId="0" xfId="0" applyFont="1" applyFill="1" applyBorder="1" applyAlignment="1">
      <alignment horizontal="left" vertical="center"/>
    </xf>
    <xf numFmtId="0" fontId="92" fillId="9" borderId="0" xfId="0" applyFont="1" applyFill="1" applyBorder="1" applyAlignment="1">
      <alignment horizontal="center" vertical="center"/>
    </xf>
    <xf numFmtId="0" fontId="92" fillId="11" borderId="12" xfId="0" applyFont="1" applyFill="1" applyBorder="1"/>
    <xf numFmtId="0" fontId="92" fillId="10" borderId="0" xfId="0" applyFont="1" applyFill="1" applyBorder="1"/>
    <xf numFmtId="0" fontId="93" fillId="9" borderId="0" xfId="0" applyFont="1" applyFill="1" applyBorder="1" applyAlignment="1">
      <alignment horizontal="center" vertical="center"/>
    </xf>
    <xf numFmtId="0" fontId="92" fillId="12" borderId="0" xfId="0" applyFont="1" applyFill="1" applyBorder="1"/>
    <xf numFmtId="0" fontId="92" fillId="9" borderId="3" xfId="0" applyFont="1" applyFill="1" applyBorder="1" applyAlignment="1">
      <alignment horizontal="center" vertical="center"/>
    </xf>
    <xf numFmtId="0" fontId="94" fillId="33" borderId="0" xfId="0" applyFont="1" applyFill="1" applyBorder="1" applyAlignment="1">
      <alignment horizontal="left" vertical="center"/>
    </xf>
    <xf numFmtId="0" fontId="92" fillId="33" borderId="0" xfId="0" applyFont="1" applyFill="1" applyBorder="1" applyAlignment="1">
      <alignment horizontal="center" vertical="center"/>
    </xf>
    <xf numFmtId="0" fontId="86" fillId="11" borderId="12" xfId="0" applyFont="1" applyFill="1" applyBorder="1" applyAlignment="1">
      <alignment horizontal="left" vertical="center"/>
    </xf>
    <xf numFmtId="0" fontId="86" fillId="10" borderId="0" xfId="0" applyFont="1" applyFill="1" applyBorder="1" applyAlignment="1">
      <alignment horizontal="left" vertical="center"/>
    </xf>
    <xf numFmtId="0" fontId="86" fillId="9" borderId="0" xfId="0" applyFont="1" applyFill="1" applyBorder="1" applyAlignment="1">
      <alignment horizontal="left" vertical="center"/>
    </xf>
    <xf numFmtId="0" fontId="86" fillId="2" borderId="0" xfId="0" applyFont="1" applyFill="1" applyBorder="1" applyAlignment="1">
      <alignment horizontal="left" vertical="center"/>
    </xf>
    <xf numFmtId="0" fontId="86" fillId="12" borderId="0" xfId="0" applyFont="1" applyFill="1" applyBorder="1" applyAlignment="1">
      <alignment horizontal="left" vertical="center"/>
    </xf>
    <xf numFmtId="0" fontId="88" fillId="9" borderId="3" xfId="0" applyFont="1" applyFill="1" applyBorder="1" applyAlignment="1">
      <alignment horizontal="center" vertical="center"/>
    </xf>
    <xf numFmtId="0" fontId="88" fillId="9" borderId="0" xfId="0" applyFont="1" applyFill="1" applyBorder="1" applyAlignment="1">
      <alignment horizontal="center" vertical="center"/>
    </xf>
    <xf numFmtId="0" fontId="94" fillId="24" borderId="0" xfId="0" applyFont="1" applyFill="1" applyBorder="1" applyAlignment="1">
      <alignment horizontal="left" vertical="center"/>
    </xf>
    <xf numFmtId="0" fontId="92" fillId="24" borderId="0" xfId="0" applyFont="1" applyFill="1" applyBorder="1" applyAlignment="1">
      <alignment horizontal="center" vertical="center"/>
    </xf>
    <xf numFmtId="0" fontId="86" fillId="11" borderId="14" xfId="0" applyFont="1" applyFill="1" applyBorder="1" applyAlignment="1">
      <alignment horizontal="left" vertical="center"/>
    </xf>
    <xf numFmtId="0" fontId="88" fillId="10" borderId="15" xfId="0" applyFont="1" applyFill="1" applyBorder="1" applyAlignment="1">
      <alignment horizontal="center" vertical="center"/>
    </xf>
    <xf numFmtId="0" fontId="88" fillId="9" borderId="15" xfId="0" applyFont="1" applyFill="1" applyBorder="1" applyAlignment="1">
      <alignment horizontal="center" vertical="center"/>
    </xf>
    <xf numFmtId="0" fontId="88" fillId="12" borderId="15" xfId="0" applyFont="1" applyFill="1" applyBorder="1" applyAlignment="1">
      <alignment horizontal="center" vertical="center"/>
    </xf>
    <xf numFmtId="0" fontId="88" fillId="11" borderId="14" xfId="0" applyFont="1" applyFill="1" applyBorder="1" applyAlignment="1">
      <alignment horizontal="center" vertical="center"/>
    </xf>
    <xf numFmtId="0" fontId="88" fillId="12" borderId="1" xfId="0" applyFont="1" applyFill="1" applyBorder="1" applyAlignment="1">
      <alignment horizontal="center" vertical="center"/>
    </xf>
    <xf numFmtId="0" fontId="88" fillId="9" borderId="0" xfId="0" applyFont="1" applyFill="1" applyBorder="1" applyAlignment="1">
      <alignment horizontal="left" vertical="center"/>
    </xf>
    <xf numFmtId="0" fontId="88" fillId="11" borderId="17" xfId="0" applyFont="1" applyFill="1" applyBorder="1" applyAlignment="1">
      <alignment horizontal="center" vertical="center"/>
    </xf>
    <xf numFmtId="0" fontId="88" fillId="10" borderId="6" xfId="0" applyFont="1" applyFill="1" applyBorder="1" applyAlignment="1">
      <alignment horizontal="center" vertical="center"/>
    </xf>
    <xf numFmtId="0" fontId="88" fillId="9" borderId="6" xfId="0" applyFont="1" applyFill="1" applyBorder="1" applyAlignment="1">
      <alignment horizontal="center" vertical="center"/>
    </xf>
    <xf numFmtId="0" fontId="88" fillId="12" borderId="6" xfId="0" applyFont="1" applyFill="1" applyBorder="1" applyAlignment="1">
      <alignment horizontal="center" vertical="center"/>
    </xf>
    <xf numFmtId="0" fontId="88" fillId="12" borderId="3" xfId="0" applyFont="1" applyFill="1" applyBorder="1" applyAlignment="1">
      <alignment horizontal="center" vertical="center"/>
    </xf>
    <xf numFmtId="0" fontId="69" fillId="16" borderId="0" xfId="0" applyFont="1" applyFill="1" applyBorder="1" applyAlignment="1">
      <alignment horizontal="left" vertical="center"/>
    </xf>
    <xf numFmtId="0" fontId="72" fillId="3" borderId="0" xfId="0" applyFont="1" applyFill="1" applyBorder="1" applyAlignment="1">
      <alignment horizontal="left" vertical="center"/>
    </xf>
    <xf numFmtId="0" fontId="69" fillId="3" borderId="0" xfId="0" applyFont="1" applyFill="1" applyBorder="1" applyAlignment="1">
      <alignment horizontal="center" vertical="center"/>
    </xf>
    <xf numFmtId="0" fontId="69" fillId="5" borderId="0" xfId="0" applyFont="1" applyFill="1" applyBorder="1" applyAlignment="1">
      <alignment horizontal="left" vertical="center"/>
    </xf>
    <xf numFmtId="0" fontId="88" fillId="5" borderId="0" xfId="0" applyFont="1" applyFill="1" applyBorder="1" applyAlignment="1">
      <alignment horizontal="center" vertical="center"/>
    </xf>
    <xf numFmtId="0" fontId="69" fillId="25" borderId="0" xfId="0" applyFont="1" applyFill="1" applyBorder="1" applyAlignment="1">
      <alignment horizontal="left" vertical="center"/>
    </xf>
    <xf numFmtId="0" fontId="95" fillId="28" borderId="0" xfId="0" applyFont="1" applyFill="1" applyBorder="1" applyAlignment="1">
      <alignment horizontal="left" vertical="center"/>
    </xf>
    <xf numFmtId="0" fontId="96" fillId="28" borderId="0" xfId="0" applyFont="1" applyFill="1" applyBorder="1" applyAlignment="1">
      <alignment horizontal="left" vertical="center"/>
    </xf>
    <xf numFmtId="0" fontId="97" fillId="9" borderId="0" xfId="0" applyFont="1" applyFill="1" applyBorder="1" applyAlignment="1">
      <alignment horizontal="left" vertical="center"/>
    </xf>
    <xf numFmtId="0" fontId="98" fillId="23" borderId="8" xfId="0" applyFont="1" applyFill="1" applyBorder="1" applyAlignment="1">
      <alignment horizontal="left" vertical="center"/>
    </xf>
    <xf numFmtId="0" fontId="86" fillId="11" borderId="17" xfId="0" applyFont="1" applyFill="1" applyBorder="1" applyAlignment="1">
      <alignment horizontal="left" vertical="center"/>
    </xf>
    <xf numFmtId="0" fontId="95" fillId="23" borderId="8" xfId="0" applyFont="1" applyFill="1" applyBorder="1" applyAlignment="1">
      <alignment horizontal="left" vertical="center"/>
    </xf>
    <xf numFmtId="0" fontId="99" fillId="11" borderId="17" xfId="0" applyFont="1" applyFill="1" applyBorder="1" applyAlignment="1">
      <alignment horizontal="left" vertical="top"/>
    </xf>
    <xf numFmtId="0" fontId="99" fillId="10" borderId="6" xfId="0" applyFont="1" applyFill="1" applyBorder="1" applyAlignment="1">
      <alignment horizontal="left" vertical="top"/>
    </xf>
    <xf numFmtId="0" fontId="99" fillId="9" borderId="6" xfId="0" applyFont="1" applyFill="1" applyBorder="1" applyAlignment="1">
      <alignment horizontal="left" vertical="top"/>
    </xf>
    <xf numFmtId="0" fontId="99" fillId="12" borderId="6" xfId="0" applyFont="1" applyFill="1" applyBorder="1" applyAlignment="1">
      <alignment horizontal="left" vertical="top"/>
    </xf>
    <xf numFmtId="0" fontId="99" fillId="12" borderId="3" xfId="0" applyFont="1" applyFill="1" applyBorder="1" applyAlignment="1">
      <alignment horizontal="left" vertical="top"/>
    </xf>
    <xf numFmtId="0" fontId="100" fillId="9" borderId="3" xfId="0" applyFont="1" applyFill="1" applyBorder="1" applyAlignment="1">
      <alignment horizontal="left" vertical="center"/>
    </xf>
    <xf numFmtId="0" fontId="100" fillId="9" borderId="0" xfId="0" applyFont="1" applyFill="1" applyBorder="1" applyAlignment="1">
      <alignment horizontal="left" vertical="center"/>
    </xf>
    <xf numFmtId="0" fontId="100" fillId="0" borderId="0" xfId="0" applyFont="1" applyBorder="1" applyAlignment="1">
      <alignment horizontal="left" vertical="center"/>
    </xf>
    <xf numFmtId="0" fontId="101" fillId="9" borderId="0" xfId="0" applyFont="1" applyFill="1" applyBorder="1" applyAlignment="1">
      <alignment horizontal="left" vertical="center"/>
    </xf>
    <xf numFmtId="0" fontId="95" fillId="23" borderId="17" xfId="0" applyFont="1" applyFill="1" applyBorder="1" applyAlignment="1">
      <alignment horizontal="left" vertical="center"/>
    </xf>
    <xf numFmtId="0" fontId="95" fillId="23" borderId="6" xfId="0" applyFont="1" applyFill="1" applyBorder="1" applyAlignment="1">
      <alignment horizontal="left" vertical="center"/>
    </xf>
    <xf numFmtId="0" fontId="95" fillId="23" borderId="3" xfId="0" applyFont="1" applyFill="1" applyBorder="1" applyAlignment="1">
      <alignment horizontal="left" vertical="center"/>
    </xf>
    <xf numFmtId="0" fontId="101" fillId="9" borderId="3" xfId="0" applyFont="1" applyFill="1" applyBorder="1" applyAlignment="1">
      <alignment horizontal="left" vertical="center"/>
    </xf>
    <xf numFmtId="0" fontId="86" fillId="11" borderId="18" xfId="0" applyFont="1" applyFill="1" applyBorder="1" applyAlignment="1">
      <alignment horizontal="left" vertical="center"/>
    </xf>
    <xf numFmtId="0" fontId="86" fillId="10" borderId="16" xfId="0" applyFont="1" applyFill="1" applyBorder="1" applyAlignment="1">
      <alignment horizontal="left" vertical="center"/>
    </xf>
    <xf numFmtId="0" fontId="86" fillId="9" borderId="16" xfId="0" applyFont="1" applyFill="1" applyBorder="1" applyAlignment="1">
      <alignment horizontal="left" vertical="center"/>
    </xf>
    <xf numFmtId="0" fontId="86" fillId="12" borderId="16" xfId="0" applyFont="1" applyFill="1" applyBorder="1" applyAlignment="1">
      <alignment horizontal="left" vertical="center"/>
    </xf>
    <xf numFmtId="0" fontId="86" fillId="12" borderId="4" xfId="0" applyFont="1" applyFill="1" applyBorder="1" applyAlignment="1">
      <alignment horizontal="left" vertical="center"/>
    </xf>
    <xf numFmtId="0" fontId="86" fillId="9" borderId="3" xfId="0" applyFont="1" applyFill="1" applyBorder="1" applyAlignment="1">
      <alignment horizontal="left" vertical="center"/>
    </xf>
    <xf numFmtId="0" fontId="82" fillId="9" borderId="0" xfId="0" applyFont="1" applyFill="1" applyBorder="1" applyAlignment="1">
      <alignment horizontal="left" vertical="center"/>
    </xf>
    <xf numFmtId="0" fontId="88" fillId="9" borderId="10" xfId="0" applyFont="1" applyFill="1" applyBorder="1" applyAlignment="1">
      <alignment horizontal="center" vertical="center"/>
    </xf>
    <xf numFmtId="0" fontId="102" fillId="9" borderId="0" xfId="0" applyFont="1" applyFill="1" applyBorder="1" applyAlignment="1">
      <alignment horizontal="center" vertical="center"/>
    </xf>
    <xf numFmtId="0" fontId="88" fillId="0" borderId="0" xfId="0" applyFont="1" applyBorder="1" applyAlignment="1">
      <alignment horizontal="center" vertical="center"/>
    </xf>
    <xf numFmtId="0" fontId="103" fillId="9" borderId="0" xfId="0" applyFont="1" applyFill="1" applyBorder="1" applyAlignment="1">
      <alignment horizontal="center" vertical="center"/>
    </xf>
    <xf numFmtId="0" fontId="88" fillId="3" borderId="0" xfId="0" applyFont="1" applyFill="1" applyBorder="1" applyAlignment="1">
      <alignment horizontal="left" vertical="center"/>
    </xf>
    <xf numFmtId="0" fontId="104" fillId="3" borderId="0" xfId="0" applyFont="1" applyFill="1" applyBorder="1" applyAlignment="1">
      <alignment horizontal="right" vertical="center"/>
    </xf>
    <xf numFmtId="1" fontId="105" fillId="3" borderId="10" xfId="0" applyNumberFormat="1" applyFont="1" applyFill="1" applyBorder="1" applyAlignment="1">
      <alignment horizontal="center" vertical="center"/>
    </xf>
    <xf numFmtId="0" fontId="102" fillId="9" borderId="10" xfId="0" applyFont="1" applyFill="1" applyBorder="1" applyAlignment="1">
      <alignment horizontal="center" vertical="center"/>
    </xf>
    <xf numFmtId="0" fontId="102" fillId="9" borderId="21" xfId="0" applyFont="1" applyFill="1" applyBorder="1" applyAlignment="1">
      <alignment horizontal="center" vertical="center"/>
    </xf>
    <xf numFmtId="0" fontId="88" fillId="9" borderId="21" xfId="0" applyFont="1" applyFill="1" applyBorder="1" applyAlignment="1">
      <alignment horizontal="center" vertical="center"/>
    </xf>
    <xf numFmtId="0" fontId="103" fillId="9" borderId="10" xfId="0" applyFont="1" applyFill="1" applyBorder="1" applyAlignment="1">
      <alignment horizontal="center" vertical="center"/>
    </xf>
    <xf numFmtId="0" fontId="103" fillId="9" borderId="21" xfId="0" applyFont="1" applyFill="1" applyBorder="1" applyAlignment="1">
      <alignment horizontal="center" vertical="center"/>
    </xf>
    <xf numFmtId="0" fontId="106" fillId="2" borderId="0" xfId="0" applyFont="1" applyFill="1" applyAlignment="1">
      <alignment horizontal="left" vertical="center"/>
    </xf>
    <xf numFmtId="0" fontId="88" fillId="2" borderId="0" xfId="0" applyFont="1" applyFill="1" applyAlignment="1">
      <alignment horizontal="center" vertical="center"/>
    </xf>
    <xf numFmtId="0" fontId="82" fillId="9" borderId="10" xfId="0" applyFont="1" applyFill="1" applyBorder="1" applyAlignment="1">
      <alignment horizontal="left" vertical="center"/>
    </xf>
    <xf numFmtId="0" fontId="88" fillId="9" borderId="10" xfId="0" applyFont="1" applyFill="1" applyBorder="1" applyAlignment="1">
      <alignment horizontal="left" vertical="center"/>
    </xf>
    <xf numFmtId="0" fontId="68" fillId="9" borderId="0" xfId="0" applyFont="1" applyFill="1" applyBorder="1" applyAlignment="1">
      <alignment horizontal="left" vertical="center"/>
    </xf>
    <xf numFmtId="0" fontId="88" fillId="2" borderId="5" xfId="0" applyFont="1" applyFill="1" applyBorder="1" applyAlignment="1">
      <alignment horizontal="center" vertical="center"/>
    </xf>
    <xf numFmtId="164" fontId="82" fillId="17" borderId="0" xfId="0" applyNumberFormat="1" applyFont="1" applyFill="1" applyBorder="1" applyAlignment="1">
      <alignment horizontal="right" vertical="center"/>
    </xf>
    <xf numFmtId="164" fontId="82" fillId="17" borderId="13" xfId="0" applyNumberFormat="1" applyFont="1" applyFill="1" applyBorder="1" applyAlignment="1">
      <alignment horizontal="right" vertical="center"/>
    </xf>
    <xf numFmtId="0" fontId="75" fillId="9" borderId="0" xfId="0" applyFont="1" applyFill="1" applyBorder="1" applyAlignment="1">
      <alignment horizontal="left" vertical="top"/>
    </xf>
    <xf numFmtId="164" fontId="75" fillId="9" borderId="0" xfId="0" applyNumberFormat="1" applyFont="1" applyFill="1" applyBorder="1" applyAlignment="1">
      <alignment horizontal="left" vertical="top"/>
    </xf>
    <xf numFmtId="0" fontId="81" fillId="13" borderId="0" xfId="0" applyFont="1" applyFill="1" applyBorder="1" applyAlignment="1">
      <alignment horizontal="left" vertical="center"/>
    </xf>
    <xf numFmtId="0" fontId="87" fillId="3" borderId="0" xfId="0" applyFont="1" applyFill="1" applyBorder="1" applyAlignment="1">
      <alignment horizontal="center" vertical="center"/>
    </xf>
    <xf numFmtId="0" fontId="71" fillId="17" borderId="0" xfId="0" applyFont="1" applyFill="1" applyBorder="1" applyAlignment="1">
      <alignment horizontal="center" vertical="center"/>
    </xf>
    <xf numFmtId="0" fontId="83" fillId="14" borderId="12" xfId="0" applyFont="1" applyFill="1" applyBorder="1" applyAlignment="1">
      <alignment horizontal="left" vertical="center"/>
    </xf>
    <xf numFmtId="0" fontId="83" fillId="14" borderId="0" xfId="0" applyFont="1" applyFill="1" applyBorder="1" applyAlignment="1">
      <alignment horizontal="left" vertical="center"/>
    </xf>
    <xf numFmtId="0" fontId="81" fillId="15" borderId="12" xfId="0" applyFont="1" applyFill="1" applyBorder="1" applyAlignment="1">
      <alignment horizontal="left" vertical="center"/>
    </xf>
    <xf numFmtId="0" fontId="81" fillId="15" borderId="0" xfId="0" applyFont="1" applyFill="1" applyBorder="1" applyAlignment="1">
      <alignment horizontal="left" vertical="center"/>
    </xf>
    <xf numFmtId="164" fontId="69" fillId="9" borderId="0" xfId="0" applyNumberFormat="1" applyFont="1" applyFill="1" applyBorder="1" applyAlignment="1">
      <alignment horizontal="right" vertical="center"/>
    </xf>
    <xf numFmtId="0" fontId="42" fillId="2" borderId="25" xfId="0" applyFont="1" applyFill="1" applyBorder="1" applyAlignment="1">
      <alignment horizontal="center" vertical="center"/>
    </xf>
    <xf numFmtId="0" fontId="42" fillId="2" borderId="24" xfId="0" applyFont="1" applyFill="1" applyBorder="1" applyAlignment="1">
      <alignment horizontal="center" vertical="center"/>
    </xf>
    <xf numFmtId="0" fontId="42" fillId="9" borderId="23" xfId="0" applyFont="1" applyFill="1" applyBorder="1" applyAlignment="1">
      <alignment horizontal="center" vertical="center"/>
    </xf>
    <xf numFmtId="0" fontId="42" fillId="9" borderId="25" xfId="0" applyFont="1" applyFill="1" applyBorder="1" applyAlignment="1">
      <alignment horizontal="center" vertical="center"/>
    </xf>
    <xf numFmtId="0" fontId="7" fillId="9" borderId="12" xfId="0" applyFont="1" applyFill="1" applyBorder="1" applyAlignment="1">
      <alignment horizontal="left" vertical="center"/>
    </xf>
    <xf numFmtId="0" fontId="7" fillId="9" borderId="0" xfId="0" applyFont="1" applyFill="1" applyBorder="1" applyAlignment="1">
      <alignment horizontal="left" vertical="center"/>
    </xf>
    <xf numFmtId="0" fontId="30" fillId="9" borderId="0" xfId="0" applyFont="1" applyFill="1" applyBorder="1" applyAlignment="1">
      <alignment horizontal="left" vertical="center"/>
    </xf>
    <xf numFmtId="0" fontId="35" fillId="9" borderId="1" xfId="0" applyFont="1" applyFill="1" applyBorder="1" applyAlignment="1">
      <alignment horizontal="left"/>
    </xf>
    <xf numFmtId="0" fontId="35" fillId="9" borderId="7" xfId="0" applyFont="1" applyFill="1" applyBorder="1" applyAlignment="1">
      <alignment horizontal="left"/>
    </xf>
    <xf numFmtId="164" fontId="43" fillId="9" borderId="4" xfId="0" applyNumberFormat="1" applyFont="1" applyFill="1" applyBorder="1" applyAlignment="1">
      <alignment horizontal="left" vertical="top"/>
    </xf>
    <xf numFmtId="164" fontId="43" fillId="9" borderId="9" xfId="0" applyNumberFormat="1" applyFont="1" applyFill="1" applyBorder="1" applyAlignment="1">
      <alignment horizontal="left" vertical="top"/>
    </xf>
    <xf numFmtId="0" fontId="49" fillId="18" borderId="26" xfId="0" applyFont="1" applyFill="1" applyBorder="1" applyAlignment="1">
      <alignment horizontal="left" vertical="center"/>
    </xf>
    <xf numFmtId="0" fontId="50" fillId="20" borderId="26" xfId="0" applyFont="1" applyFill="1" applyBorder="1" applyAlignment="1">
      <alignment horizontal="left" vertical="center"/>
    </xf>
    <xf numFmtId="0" fontId="50" fillId="19" borderId="26" xfId="0" applyFont="1" applyFill="1" applyBorder="1" applyAlignment="1">
      <alignment horizontal="left" vertical="center"/>
    </xf>
    <xf numFmtId="0" fontId="55" fillId="18" borderId="0" xfId="0" applyFont="1" applyFill="1" applyBorder="1" applyAlignment="1">
      <alignment horizontal="left" vertical="center"/>
    </xf>
    <xf numFmtId="1" fontId="21" fillId="3" borderId="1" xfId="0" applyNumberFormat="1" applyFont="1" applyFill="1" applyBorder="1" applyAlignment="1">
      <alignment horizontal="center" vertical="top"/>
    </xf>
    <xf numFmtId="1" fontId="21" fillId="3" borderId="2" xfId="0" applyNumberFormat="1" applyFont="1" applyFill="1" applyBorder="1" applyAlignment="1">
      <alignment horizontal="center" vertical="top"/>
    </xf>
    <xf numFmtId="1" fontId="21" fillId="3" borderId="7" xfId="0" applyNumberFormat="1" applyFont="1" applyFill="1" applyBorder="1" applyAlignment="1">
      <alignment horizontal="center" vertical="top"/>
    </xf>
    <xf numFmtId="1" fontId="21" fillId="3" borderId="3" xfId="0" applyNumberFormat="1" applyFont="1" applyFill="1" applyBorder="1" applyAlignment="1">
      <alignment horizontal="center" vertical="top"/>
    </xf>
    <xf numFmtId="1" fontId="21" fillId="3" borderId="0" xfId="0" applyNumberFormat="1" applyFont="1" applyFill="1" applyBorder="1" applyAlignment="1">
      <alignment horizontal="center" vertical="top"/>
    </xf>
    <xf numFmtId="1" fontId="21" fillId="3" borderId="8" xfId="0" applyNumberFormat="1" applyFont="1" applyFill="1" applyBorder="1" applyAlignment="1">
      <alignment horizontal="center" vertical="top"/>
    </xf>
    <xf numFmtId="1" fontId="21" fillId="3" borderId="4" xfId="0" applyNumberFormat="1" applyFont="1" applyFill="1" applyBorder="1" applyAlignment="1">
      <alignment horizontal="center" vertical="top"/>
    </xf>
    <xf numFmtId="1" fontId="21" fillId="3" borderId="5" xfId="0" applyNumberFormat="1" applyFont="1" applyFill="1" applyBorder="1" applyAlignment="1">
      <alignment horizontal="center" vertical="top"/>
    </xf>
    <xf numFmtId="1" fontId="21" fillId="3" borderId="9" xfId="0" applyNumberFormat="1" applyFont="1" applyFill="1" applyBorder="1" applyAlignment="1">
      <alignment horizontal="center" vertical="top"/>
    </xf>
    <xf numFmtId="0" fontId="7" fillId="2" borderId="1" xfId="0" applyFont="1" applyFill="1" applyBorder="1" applyAlignment="1">
      <alignment horizontal="center" vertical="center"/>
    </xf>
    <xf numFmtId="0" fontId="7" fillId="2" borderId="2" xfId="0" applyFont="1" applyFill="1" applyBorder="1" applyAlignment="1">
      <alignment horizontal="center" vertical="center"/>
    </xf>
    <xf numFmtId="0" fontId="7" fillId="2" borderId="7" xfId="0" applyFont="1" applyFill="1" applyBorder="1" applyAlignment="1">
      <alignment horizontal="center" vertical="center"/>
    </xf>
    <xf numFmtId="0" fontId="7" fillId="2" borderId="3" xfId="0" applyFont="1" applyFill="1" applyBorder="1" applyAlignment="1">
      <alignment horizontal="center" vertical="center"/>
    </xf>
    <xf numFmtId="0" fontId="7" fillId="2" borderId="0" xfId="0" applyFont="1" applyFill="1" applyBorder="1" applyAlignment="1">
      <alignment horizontal="center" vertical="center"/>
    </xf>
    <xf numFmtId="0" fontId="7" fillId="2" borderId="8" xfId="0" applyFont="1" applyFill="1" applyBorder="1" applyAlignment="1">
      <alignment horizontal="center" vertical="center"/>
    </xf>
    <xf numFmtId="0" fontId="7" fillId="2" borderId="4" xfId="0" applyFont="1" applyFill="1" applyBorder="1" applyAlignment="1">
      <alignment horizontal="center" vertical="center"/>
    </xf>
    <xf numFmtId="0" fontId="7" fillId="2" borderId="5" xfId="0" applyFont="1" applyFill="1" applyBorder="1" applyAlignment="1">
      <alignment horizontal="center" vertical="center"/>
    </xf>
    <xf numFmtId="0" fontId="7" fillId="2" borderId="9" xfId="0" applyFont="1" applyFill="1" applyBorder="1" applyAlignment="1">
      <alignment horizontal="center" vertical="center"/>
    </xf>
  </cellXfs>
  <cellStyles count="5">
    <cellStyle name="Blogas" xfId="2" builtinId="27"/>
    <cellStyle name="Geras" xfId="1" builtinId="26"/>
    <cellStyle name="Įprastas" xfId="0" builtinId="0"/>
    <cellStyle name="Kablelis" xfId="4" builtinId="3"/>
    <cellStyle name="Neutralus" xfId="3" builtinId="28"/>
  </cellStyles>
  <dxfs count="51">
    <dxf>
      <font>
        <color theme="0"/>
      </font>
      <fill>
        <patternFill>
          <bgColor theme="1"/>
        </patternFill>
      </fill>
    </dxf>
    <dxf>
      <font>
        <b/>
        <i val="0"/>
        <color rgb="FFFF0000"/>
      </font>
      <fill>
        <gradientFill degree="180">
          <stop position="0">
            <color theme="0"/>
          </stop>
          <stop position="1">
            <color theme="1"/>
          </stop>
        </gradientFill>
      </fill>
    </dxf>
    <dxf>
      <font>
        <b/>
        <i val="0"/>
        <color rgb="FFFF0000"/>
      </font>
      <fill>
        <gradientFill>
          <stop position="0">
            <color theme="0"/>
          </stop>
          <stop position="1">
            <color theme="1"/>
          </stop>
        </gradientFill>
      </fill>
    </dxf>
    <dxf>
      <font>
        <color theme="0"/>
      </font>
      <fill>
        <patternFill>
          <bgColor theme="1"/>
        </patternFill>
      </fill>
    </dxf>
    <dxf>
      <font>
        <b/>
        <i val="0"/>
        <color rgb="FFFF0000"/>
      </font>
      <fill>
        <gradientFill degree="180">
          <stop position="0">
            <color theme="0"/>
          </stop>
          <stop position="1">
            <color theme="1"/>
          </stop>
        </gradientFill>
      </fill>
    </dxf>
    <dxf>
      <font>
        <b/>
        <i val="0"/>
        <color rgb="FFFF0000"/>
      </font>
      <fill>
        <gradientFill>
          <stop position="0">
            <color theme="0"/>
          </stop>
          <stop position="1">
            <color theme="1"/>
          </stop>
        </gradientFill>
      </fill>
    </dxf>
    <dxf>
      <font>
        <color auto="1"/>
      </font>
      <fill>
        <patternFill>
          <bgColor theme="4" tint="0.59996337778862885"/>
        </patternFill>
      </fill>
    </dxf>
    <dxf>
      <fill>
        <patternFill>
          <bgColor theme="4" tint="0.59996337778862885"/>
        </patternFill>
      </fill>
    </dxf>
    <dxf>
      <fill>
        <patternFill>
          <bgColor theme="9" tint="0.59996337778862885"/>
        </patternFill>
      </fill>
    </dxf>
    <dxf>
      <font>
        <color auto="1"/>
      </font>
      <fill>
        <patternFill>
          <bgColor rgb="FFFF0000"/>
        </patternFill>
      </fill>
    </dxf>
    <dxf>
      <font>
        <b/>
        <i val="0"/>
        <color rgb="FFFFFF00"/>
      </font>
      <fill>
        <patternFill>
          <bgColor rgb="FFFF0000"/>
        </patternFill>
      </fill>
    </dxf>
    <dxf>
      <fill>
        <patternFill>
          <bgColor rgb="FFFF00FF"/>
        </patternFill>
      </fill>
    </dxf>
    <dxf>
      <font>
        <color theme="0"/>
      </font>
      <fill>
        <patternFill>
          <bgColor theme="4" tint="-0.24994659260841701"/>
        </patternFill>
      </fill>
    </dxf>
    <dxf>
      <fill>
        <patternFill>
          <bgColor rgb="FFFFFF00"/>
        </patternFill>
      </fill>
    </dxf>
    <dxf>
      <fill>
        <patternFill>
          <bgColor rgb="FFFFFF00"/>
        </patternFill>
      </fill>
    </dxf>
    <dxf>
      <font>
        <b/>
        <i val="0"/>
        <color rgb="FFFF00FF"/>
      </font>
    </dxf>
    <dxf>
      <font>
        <color theme="0"/>
      </font>
      <fill>
        <patternFill>
          <bgColor rgb="FFFF0000"/>
        </patternFill>
      </fill>
    </dxf>
    <dxf>
      <font>
        <color theme="0"/>
      </font>
      <fill>
        <patternFill>
          <bgColor rgb="FFFF0000"/>
        </patternFill>
      </fill>
    </dxf>
    <dxf>
      <fill>
        <patternFill>
          <bgColor theme="9" tint="0.59996337778862885"/>
        </patternFill>
      </fill>
    </dxf>
    <dxf>
      <fill>
        <patternFill>
          <bgColor rgb="FFFFFF00"/>
        </patternFill>
      </fill>
    </dxf>
    <dxf>
      <fill>
        <patternFill>
          <bgColor theme="4" tint="0.59996337778862885"/>
        </patternFill>
      </fill>
    </dxf>
    <dxf>
      <font>
        <color auto="1"/>
      </font>
      <fill>
        <patternFill>
          <bgColor theme="4" tint="0.59996337778862885"/>
        </patternFill>
      </fill>
    </dxf>
    <dxf>
      <fill>
        <patternFill>
          <bgColor theme="0" tint="-0.24994659260841701"/>
        </patternFill>
      </fill>
    </dxf>
    <dxf>
      <font>
        <b/>
        <i val="0"/>
        <color theme="0"/>
      </font>
      <fill>
        <patternFill>
          <bgColor theme="1"/>
        </patternFill>
      </fill>
    </dxf>
    <dxf>
      <fill>
        <patternFill>
          <bgColor rgb="FFFF00FF"/>
        </patternFill>
      </fill>
    </dxf>
    <dxf>
      <font>
        <color auto="1"/>
      </font>
      <fill>
        <patternFill>
          <bgColor rgb="FFFF0000"/>
        </patternFill>
      </fill>
    </dxf>
    <dxf>
      <font>
        <b/>
        <i val="0"/>
        <color auto="1"/>
      </font>
      <fill>
        <patternFill>
          <bgColor rgb="FFFFFF00"/>
        </patternFill>
      </fill>
    </dxf>
    <dxf>
      <fill>
        <patternFill>
          <bgColor theme="9" tint="0.59996337778862885"/>
        </patternFill>
      </fill>
    </dxf>
    <dxf>
      <font>
        <color theme="0"/>
      </font>
      <fill>
        <patternFill>
          <bgColor theme="4" tint="-0.24994659260841701"/>
        </patternFill>
      </fill>
    </dxf>
    <dxf>
      <fill>
        <patternFill>
          <bgColor rgb="FFFFFF00"/>
        </patternFill>
      </fill>
    </dxf>
    <dxf>
      <fill>
        <patternFill>
          <bgColor rgb="FFFFFF00"/>
        </patternFill>
      </fill>
    </dxf>
    <dxf>
      <fill>
        <patternFill>
          <bgColor rgb="FFFFFF00"/>
        </patternFill>
      </fill>
    </dxf>
    <dxf>
      <font>
        <b/>
        <i val="0"/>
        <color rgb="FFFF00FF"/>
      </font>
    </dxf>
    <dxf>
      <font>
        <b val="0"/>
        <i val="0"/>
        <strike val="0"/>
        <condense val="0"/>
        <extend val="0"/>
        <outline val="0"/>
        <shadow val="0"/>
        <u val="none"/>
        <vertAlign val="baseline"/>
        <sz val="11"/>
        <color theme="0"/>
        <name val="Calibri"/>
        <family val="2"/>
        <charset val="186"/>
        <scheme val="minor"/>
      </font>
      <fill>
        <patternFill patternType="solid">
          <fgColor indexed="64"/>
          <bgColor indexed="23"/>
        </patternFill>
      </fill>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charset val="186"/>
        <scheme val="minor"/>
      </font>
      <numFmt numFmtId="0" formatCode="General"/>
      <fill>
        <patternFill patternType="solid">
          <fgColor indexed="64"/>
          <bgColor indexed="23"/>
        </patternFill>
      </fill>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charset val="186"/>
        <scheme val="minor"/>
      </font>
      <fill>
        <patternFill patternType="solid">
          <fgColor indexed="64"/>
          <bgColor indexed="23"/>
        </patternFill>
      </fill>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charset val="186"/>
        <scheme val="minor"/>
      </font>
      <fill>
        <patternFill patternType="solid">
          <fgColor indexed="64"/>
          <bgColor indexed="23"/>
        </patternFill>
      </fill>
      <alignment horizontal="center" vertical="bottom" textRotation="0" wrapText="0" indent="0" justifyLastLine="0" shrinkToFit="0" readingOrder="0"/>
    </dxf>
    <dxf>
      <border outline="0">
        <left style="thin">
          <color indexed="64"/>
        </left>
        <top style="thin">
          <color indexed="64"/>
        </top>
        <bottom style="thin">
          <color indexed="64"/>
        </bottom>
      </border>
    </dxf>
    <dxf>
      <font>
        <b val="0"/>
        <i val="0"/>
        <strike val="0"/>
        <condense val="0"/>
        <extend val="0"/>
        <outline val="0"/>
        <shadow val="0"/>
        <u val="none"/>
        <vertAlign val="baseline"/>
        <sz val="11"/>
        <color theme="0"/>
        <name val="Calibri"/>
        <family val="2"/>
        <charset val="186"/>
        <scheme val="minor"/>
      </font>
      <fill>
        <patternFill patternType="solid">
          <fgColor indexed="64"/>
          <bgColor indexed="23"/>
        </patternFill>
      </fill>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charset val="186"/>
        <scheme val="minor"/>
      </font>
      <fill>
        <patternFill patternType="solid">
          <fgColor indexed="64"/>
          <bgColor indexed="23"/>
        </patternFill>
      </fill>
      <alignment horizontal="left" vertical="bottom"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1"/>
        <name val="Calibri"/>
        <family val="2"/>
        <charset val="186"/>
        <scheme val="minor"/>
      </font>
      <numFmt numFmtId="0" formatCode="General"/>
      <alignment horizontal="left" vertical="center" textRotation="0" wrapText="0" indent="0" justifyLastLine="0" shrinkToFit="0" readingOrder="0"/>
    </dxf>
    <dxf>
      <font>
        <strike val="0"/>
        <outline val="0"/>
        <shadow val="0"/>
        <u val="none"/>
        <vertAlign val="baseline"/>
        <sz val="11"/>
        <name val="Calibri"/>
        <family val="2"/>
        <charset val="186"/>
        <scheme val="minor"/>
      </font>
      <fill>
        <patternFill patternType="solid">
          <fgColor indexed="64"/>
          <bgColor indexed="23"/>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rgb="FFFF0000"/>
        <name val="Calibri"/>
        <family val="2"/>
        <charset val="186"/>
        <scheme val="minor"/>
      </font>
      <fill>
        <patternFill patternType="solid">
          <fgColor indexed="64"/>
          <bgColor indexed="23"/>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Calibri"/>
        <family val="2"/>
        <charset val="186"/>
        <scheme val="minor"/>
      </font>
      <fill>
        <patternFill patternType="solid">
          <fgColor indexed="64"/>
          <bgColor indexed="22"/>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rgb="FFFF0000"/>
        <name val="Calibri"/>
        <family val="2"/>
        <charset val="186"/>
        <scheme val="minor"/>
      </font>
      <fill>
        <patternFill patternType="solid">
          <fgColor indexed="64"/>
          <bgColor indexed="22"/>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Calibri"/>
        <family val="2"/>
        <charset val="186"/>
        <scheme val="minor"/>
      </font>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rgb="FFFF0000"/>
        <name val="Calibri"/>
        <family val="2"/>
        <charset val="186"/>
        <scheme val="minor"/>
      </font>
      <fill>
        <patternFill patternType="solid">
          <fgColor indexed="64"/>
          <bgColor theme="0"/>
        </patternFill>
      </fill>
      <alignment horizontal="left" vertical="center" textRotation="0" wrapText="0" indent="0" justifyLastLine="0" shrinkToFit="0" readingOrder="0"/>
      <border diagonalUp="0" diagonalDown="0" outline="0">
        <left/>
        <right style="thin">
          <color indexed="64"/>
        </right>
        <top style="thin">
          <color indexed="64"/>
        </top>
        <bottom style="thin">
          <color indexed="64"/>
        </bottom>
      </border>
    </dxf>
    <dxf>
      <font>
        <strike val="0"/>
        <outline val="0"/>
        <shadow val="0"/>
        <u val="none"/>
        <vertAlign val="baseline"/>
        <sz val="11"/>
        <name val="Calibri"/>
        <family val="2"/>
        <charset val="186"/>
        <scheme val="minor"/>
      </font>
      <numFmt numFmtId="19" formatCode="yyyy/mm/dd"/>
      <fill>
        <patternFill patternType="solid">
          <fgColor indexed="64"/>
          <bgColor theme="0"/>
        </patternFill>
      </fill>
      <alignment horizontal="left" vertical="center" textRotation="0" wrapText="0" indent="0" justifyLastLine="0" shrinkToFit="0" readingOrder="0"/>
    </dxf>
    <dxf>
      <border outline="0">
        <bottom style="thin">
          <color indexed="64"/>
        </bottom>
      </border>
    </dxf>
    <dxf>
      <font>
        <strike val="0"/>
        <outline val="0"/>
        <shadow val="0"/>
        <u val="none"/>
        <vertAlign val="baseline"/>
        <sz val="11"/>
        <name val="Calibri"/>
        <family val="2"/>
        <charset val="186"/>
        <scheme val="minor"/>
      </font>
      <alignment horizontal="left" vertical="center" textRotation="0" wrapText="0" indent="0" justifyLastLine="0" shrinkToFit="0" readingOrder="0"/>
    </dxf>
    <dxf>
      <font>
        <strike val="0"/>
        <outline val="0"/>
        <shadow val="0"/>
        <u val="none"/>
        <vertAlign val="baseline"/>
        <sz val="11"/>
        <color rgb="FFFF0000"/>
        <name val="Calibri"/>
        <family val="2"/>
        <charset val="186"/>
        <scheme val="minor"/>
      </font>
      <fill>
        <patternFill patternType="solid">
          <fgColor indexed="64"/>
          <bgColor indexed="22"/>
        </patternFill>
      </fill>
      <alignment horizontal="left" vertical="center" textRotation="0" wrapText="0" indent="0" justifyLastLine="0" shrinkToFit="0" readingOrder="0"/>
    </dxf>
  </dxfs>
  <tableStyles count="0" defaultTableStyle="TableStyleMedium2" defaultPivotStyle="PivotStyleLight16"/>
  <colors>
    <mruColors>
      <color rgb="FFFF00FF"/>
      <color rgb="FF0000FF"/>
      <color rgb="FF00FF00"/>
      <color rgb="FFFFD9FF"/>
      <color rgb="FFFFCCFF"/>
      <color rgb="FFDF95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4.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connections" Target="connections.xml"/><Relationship Id="rId10" Type="http://schemas.microsoft.com/office/2007/relationships/slicerCache" Target="slicerCaches/slicerCache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lt-L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305751947941448E-2"/>
          <c:y val="8.771929824561403E-2"/>
          <c:w val="0.97169424805205851"/>
          <c:h val="0.91064327485380125"/>
        </c:manualLayout>
      </c:layout>
      <c:barChart>
        <c:barDir val="col"/>
        <c:grouping val="clustered"/>
        <c:varyColors val="0"/>
        <c:ser>
          <c:idx val="0"/>
          <c:order val="0"/>
          <c:tx>
            <c:v>val.</c:v>
          </c:tx>
          <c:spPr>
            <a:solidFill>
              <a:srgbClr val="0000FF">
                <a:alpha val="0"/>
              </a:srgbClr>
            </a:solidFill>
            <a:ln cap="rnd" cmpd="sng">
              <a:solidFill>
                <a:srgbClr val="0000FF"/>
              </a:solidFill>
              <a:prstDash val="solid"/>
            </a:ln>
            <a:effectLst/>
          </c:spPr>
          <c:invertIfNegative val="0"/>
          <c:dLbls>
            <c:spPr>
              <a:solidFill>
                <a:schemeClr val="bg1"/>
              </a:solidFill>
              <a:ln>
                <a:solidFill>
                  <a:srgbClr val="0000FF"/>
                </a:solidFill>
              </a:ln>
              <a:effectLst/>
            </c:spPr>
            <c:txPr>
              <a:bodyPr rot="0" spcFirstLastPara="1" vertOverflow="ellipsis" vert="horz" wrap="square" lIns="38100" tIns="19050" rIns="38100" bIns="19050" anchor="ctr" anchorCtr="1">
                <a:spAutoFit/>
              </a:bodyPr>
              <a:lstStyle/>
              <a:p>
                <a:pPr>
                  <a:defRPr sz="900" b="0" i="0" u="none" strike="noStrike" kern="1200" baseline="0">
                    <a:ln w="6350">
                      <a:solidFill>
                        <a:srgbClr val="0000FF"/>
                      </a:solidFill>
                    </a:ln>
                    <a:noFill/>
                    <a:latin typeface="+mn-lt"/>
                    <a:ea typeface="+mn-ea"/>
                    <a:cs typeface="+mn-cs"/>
                  </a:defRPr>
                </a:pPr>
                <a:endParaRPr lang="lt-LT"/>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'Orai 3 dienos'!$C$6:$Z$6</c:f>
              <c:strCache>
                <c:ptCount val="24"/>
                <c:pt idx="0">
                  <c:v>0 val.</c:v>
                </c:pt>
                <c:pt idx="1">
                  <c:v>3 val.</c:v>
                </c:pt>
                <c:pt idx="2">
                  <c:v>6 val.</c:v>
                </c:pt>
                <c:pt idx="3">
                  <c:v>9 val.</c:v>
                </c:pt>
                <c:pt idx="4">
                  <c:v>12 val.</c:v>
                </c:pt>
                <c:pt idx="5">
                  <c:v>15 val.</c:v>
                </c:pt>
                <c:pt idx="6">
                  <c:v>18 val.</c:v>
                </c:pt>
                <c:pt idx="7">
                  <c:v>21 val.</c:v>
                </c:pt>
                <c:pt idx="8">
                  <c:v>0 val.</c:v>
                </c:pt>
                <c:pt idx="9">
                  <c:v>3 val.</c:v>
                </c:pt>
                <c:pt idx="10">
                  <c:v>6 val.</c:v>
                </c:pt>
                <c:pt idx="11">
                  <c:v>9 val.</c:v>
                </c:pt>
                <c:pt idx="12">
                  <c:v>12 val.</c:v>
                </c:pt>
                <c:pt idx="13">
                  <c:v>15 val.</c:v>
                </c:pt>
                <c:pt idx="14">
                  <c:v>18 val.</c:v>
                </c:pt>
                <c:pt idx="15">
                  <c:v>21 val.</c:v>
                </c:pt>
                <c:pt idx="16">
                  <c:v>0 val.</c:v>
                </c:pt>
                <c:pt idx="17">
                  <c:v>3 val.</c:v>
                </c:pt>
                <c:pt idx="18">
                  <c:v>6 val.</c:v>
                </c:pt>
                <c:pt idx="19">
                  <c:v>9 val.</c:v>
                </c:pt>
                <c:pt idx="20">
                  <c:v>12 val.</c:v>
                </c:pt>
                <c:pt idx="21">
                  <c:v>15 val.</c:v>
                </c:pt>
                <c:pt idx="22">
                  <c:v>18 val.</c:v>
                </c:pt>
                <c:pt idx="23">
                  <c:v>21 val.</c:v>
                </c:pt>
              </c:strCache>
            </c:strRef>
          </c:cat>
          <c:val>
            <c:numRef>
              <c:f>'Orai 3 dienos'!$C$41:$Z$41</c:f>
              <c:numCache>
                <c:formatCode>General</c:formatCode>
                <c:ptCount val="24"/>
                <c:pt idx="0">
                  <c:v>1</c:v>
                </c:pt>
                <c:pt idx="1">
                  <c:v>2</c:v>
                </c:pt>
                <c:pt idx="2">
                  <c:v>2</c:v>
                </c:pt>
                <c:pt idx="3">
                  <c:v>4</c:v>
                </c:pt>
                <c:pt idx="4">
                  <c:v>5</c:v>
                </c:pt>
                <c:pt idx="5">
                  <c:v>6</c:v>
                </c:pt>
                <c:pt idx="6">
                  <c:v>6</c:v>
                </c:pt>
                <c:pt idx="7">
                  <c:v>5</c:v>
                </c:pt>
                <c:pt idx="8">
                  <c:v>4</c:v>
                </c:pt>
                <c:pt idx="9">
                  <c:v>3</c:v>
                </c:pt>
                <c:pt idx="10">
                  <c:v>2</c:v>
                </c:pt>
                <c:pt idx="11">
                  <c:v>1</c:v>
                </c:pt>
                <c:pt idx="12">
                  <c:v>4</c:v>
                </c:pt>
                <c:pt idx="13">
                  <c:v>5</c:v>
                </c:pt>
                <c:pt idx="14">
                  <c:v>4</c:v>
                </c:pt>
                <c:pt idx="15">
                  <c:v>3</c:v>
                </c:pt>
                <c:pt idx="16">
                  <c:v>3</c:v>
                </c:pt>
                <c:pt idx="17">
                  <c:v>2</c:v>
                </c:pt>
                <c:pt idx="18">
                  <c:v>2</c:v>
                </c:pt>
                <c:pt idx="19">
                  <c:v>2</c:v>
                </c:pt>
                <c:pt idx="20">
                  <c:v>4</c:v>
                </c:pt>
                <c:pt idx="21">
                  <c:v>5</c:v>
                </c:pt>
                <c:pt idx="22">
                  <c:v>4</c:v>
                </c:pt>
                <c:pt idx="23">
                  <c:v>3</c:v>
                </c:pt>
              </c:numCache>
            </c:numRef>
          </c:val>
          <c:extLst>
            <c:ext xmlns:c16="http://schemas.microsoft.com/office/drawing/2014/chart" uri="{C3380CC4-5D6E-409C-BE32-E72D297353CC}">
              <c16:uniqueId val="{00000000-0B4F-448A-AEEA-CE15A0F82809}"/>
            </c:ext>
          </c:extLst>
        </c:ser>
        <c:dLbls>
          <c:dLblPos val="outEnd"/>
          <c:showLegendKey val="0"/>
          <c:showVal val="1"/>
          <c:showCatName val="0"/>
          <c:showSerName val="0"/>
          <c:showPercent val="0"/>
          <c:showBubbleSize val="0"/>
        </c:dLbls>
        <c:gapWidth val="500"/>
        <c:overlap val="2"/>
        <c:axId val="436053192"/>
        <c:axId val="436054176"/>
      </c:barChart>
      <c:catAx>
        <c:axId val="436053192"/>
        <c:scaling>
          <c:orientation val="minMax"/>
        </c:scaling>
        <c:delete val="1"/>
        <c:axPos val="b"/>
        <c:numFmt formatCode="General" sourceLinked="0"/>
        <c:majorTickMark val="out"/>
        <c:minorTickMark val="none"/>
        <c:tickLblPos val="nextTo"/>
        <c:crossAx val="436054176"/>
        <c:crosses val="autoZero"/>
        <c:auto val="1"/>
        <c:lblAlgn val="ctr"/>
        <c:lblOffset val="50"/>
        <c:tickLblSkip val="1"/>
        <c:tickMarkSkip val="1"/>
        <c:noMultiLvlLbl val="0"/>
      </c:catAx>
      <c:valAx>
        <c:axId val="436054176"/>
        <c:scaling>
          <c:orientation val="minMax"/>
        </c:scaling>
        <c:delete val="1"/>
        <c:axPos val="l"/>
        <c:numFmt formatCode="General" sourceLinked="1"/>
        <c:majorTickMark val="out"/>
        <c:minorTickMark val="none"/>
        <c:tickLblPos val="nextTo"/>
        <c:crossAx val="436053192"/>
        <c:crosses val="autoZero"/>
        <c:crossBetween val="between"/>
      </c:valAx>
      <c:spPr>
        <a:noFill/>
        <a:ln>
          <a:noFill/>
        </a:ln>
        <a:effectLst/>
      </c:spPr>
    </c:plotArea>
    <c:plotVisOnly val="0"/>
    <c:dispBlanksAs val="gap"/>
    <c:showDLblsOverMax val="0"/>
  </c:chart>
  <c:spPr>
    <a:solidFill>
      <a:schemeClr val="bg1">
        <a:alpha val="0"/>
      </a:schemeClr>
    </a:solidFill>
    <a:ln w="9525" cap="flat" cmpd="sng" algn="ctr">
      <a:noFill/>
      <a:round/>
    </a:ln>
    <a:effectLst/>
  </c:spPr>
  <c:txPr>
    <a:bodyPr/>
    <a:lstStyle/>
    <a:p>
      <a:pPr>
        <a:defRPr/>
      </a:pPr>
      <a:endParaRPr lang="lt-LT"/>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lt-L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0.9679502599202241"/>
          <c:h val="0.75735643044619427"/>
        </c:manualLayout>
      </c:layout>
      <c:barChart>
        <c:barDir val="col"/>
        <c:grouping val="clustered"/>
        <c:varyColors val="0"/>
        <c:ser>
          <c:idx val="0"/>
          <c:order val="0"/>
          <c:spPr>
            <a:solidFill>
              <a:schemeClr val="accent6">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lt-LT"/>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'Orai 3 dienos'!$C$43</c:f>
              <c:numCache>
                <c:formatCode>0</c:formatCode>
                <c:ptCount val="1"/>
                <c:pt idx="0">
                  <c:v>3.875</c:v>
                </c:pt>
              </c:numCache>
            </c:numRef>
          </c:val>
          <c:extLst>
            <c:ext xmlns:c16="http://schemas.microsoft.com/office/drawing/2014/chart" uri="{C3380CC4-5D6E-409C-BE32-E72D297353CC}">
              <c16:uniqueId val="{00000000-7E03-4185-9D92-0954AB98CEDA}"/>
            </c:ext>
          </c:extLst>
        </c:ser>
        <c:ser>
          <c:idx val="1"/>
          <c:order val="1"/>
          <c:spPr>
            <a:solidFill>
              <a:schemeClr val="accent5">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lt-LT"/>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'Orai 3 dienos'!$D$43</c:f>
              <c:numCache>
                <c:formatCode>0</c:formatCode>
                <c:ptCount val="1"/>
                <c:pt idx="0">
                  <c:v>3.25</c:v>
                </c:pt>
              </c:numCache>
            </c:numRef>
          </c:val>
          <c:extLst>
            <c:ext xmlns:c16="http://schemas.microsoft.com/office/drawing/2014/chart" uri="{C3380CC4-5D6E-409C-BE32-E72D297353CC}">
              <c16:uniqueId val="{00000001-7E03-4185-9D92-0954AB98CEDA}"/>
            </c:ext>
          </c:extLst>
        </c:ser>
        <c:ser>
          <c:idx val="2"/>
          <c:order val="2"/>
          <c:spPr>
            <a:solidFill>
              <a:schemeClr val="accent4">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lt-LT"/>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'Orai 3 dienos'!$E$43</c:f>
              <c:numCache>
                <c:formatCode>0</c:formatCode>
                <c:ptCount val="1"/>
                <c:pt idx="0">
                  <c:v>3.125</c:v>
                </c:pt>
              </c:numCache>
            </c:numRef>
          </c:val>
          <c:extLst>
            <c:ext xmlns:c16="http://schemas.microsoft.com/office/drawing/2014/chart" uri="{C3380CC4-5D6E-409C-BE32-E72D297353CC}">
              <c16:uniqueId val="{00000002-7E03-4185-9D92-0954AB98CEDA}"/>
            </c:ext>
          </c:extLst>
        </c:ser>
        <c:dLbls>
          <c:dLblPos val="inEnd"/>
          <c:showLegendKey val="0"/>
          <c:showVal val="1"/>
          <c:showCatName val="0"/>
          <c:showSerName val="0"/>
          <c:showPercent val="0"/>
          <c:showBubbleSize val="0"/>
        </c:dLbls>
        <c:gapWidth val="65"/>
        <c:axId val="620221048"/>
        <c:axId val="620214816"/>
      </c:barChart>
      <c:catAx>
        <c:axId val="620221048"/>
        <c:scaling>
          <c:orientation val="minMax"/>
        </c:scaling>
        <c:delete val="1"/>
        <c:axPos val="b"/>
        <c:majorTickMark val="none"/>
        <c:minorTickMark val="none"/>
        <c:tickLblPos val="nextTo"/>
        <c:crossAx val="620214816"/>
        <c:crosses val="autoZero"/>
        <c:auto val="1"/>
        <c:lblAlgn val="ctr"/>
        <c:lblOffset val="100"/>
        <c:noMultiLvlLbl val="0"/>
      </c:catAx>
      <c:valAx>
        <c:axId val="620214816"/>
        <c:scaling>
          <c:orientation val="minMax"/>
        </c:scaling>
        <c:delete val="1"/>
        <c:axPos val="l"/>
        <c:numFmt formatCode="0" sourceLinked="1"/>
        <c:majorTickMark val="none"/>
        <c:minorTickMark val="none"/>
        <c:tickLblPos val="nextTo"/>
        <c:crossAx val="620221048"/>
        <c:crosses val="autoZero"/>
        <c:crossBetween val="between"/>
      </c:valAx>
      <c:spPr>
        <a:no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lt-LT"/>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lt-L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5094549635678493E-2"/>
          <c:y val="0.1"/>
          <c:w val="0.97490545036432152"/>
          <c:h val="0.89333333333333331"/>
        </c:manualLayout>
      </c:layout>
      <c:barChart>
        <c:barDir val="col"/>
        <c:grouping val="clustered"/>
        <c:varyColors val="0"/>
        <c:ser>
          <c:idx val="0"/>
          <c:order val="0"/>
          <c:spPr>
            <a:solidFill>
              <a:srgbClr val="0000FF">
                <a:alpha val="0"/>
              </a:srgbClr>
            </a:solidFill>
            <a:ln>
              <a:solidFill>
                <a:schemeClr val="accent1"/>
              </a:solidFill>
            </a:ln>
            <a:effectLst/>
          </c:spPr>
          <c:invertIfNegative val="0"/>
          <c:dLbls>
            <c:spPr>
              <a:solidFill>
                <a:schemeClr val="bg1"/>
              </a:solidFill>
              <a:ln>
                <a:solidFill>
                  <a:srgbClr val="0000FF"/>
                </a:solidFill>
              </a:ln>
              <a:effectLst/>
            </c:spPr>
            <c:txPr>
              <a:bodyPr rot="0" spcFirstLastPara="1" vertOverflow="ellipsis" vert="horz" wrap="square" lIns="38100" tIns="19050" rIns="38100" bIns="19050" anchor="ctr" anchorCtr="1">
                <a:spAutoFit/>
              </a:bodyPr>
              <a:lstStyle/>
              <a:p>
                <a:pPr>
                  <a:defRPr sz="900" b="0" i="0" u="none" strike="noStrike" kern="1200" baseline="0">
                    <a:ln w="6350">
                      <a:solidFill>
                        <a:srgbClr val="0000FF"/>
                      </a:solidFill>
                    </a:ln>
                    <a:noFill/>
                    <a:latin typeface="+mn-lt"/>
                    <a:ea typeface="+mn-ea"/>
                    <a:cs typeface="+mn-cs"/>
                  </a:defRPr>
                </a:pPr>
                <a:endParaRPr lang="lt-LT"/>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'Orai 2 sav.'!$C$6:$BF$6</c:f>
              <c:numCache>
                <c:formatCode>General</c:formatCode>
                <c:ptCount val="56"/>
                <c:pt idx="0">
                  <c:v>0</c:v>
                </c:pt>
                <c:pt idx="1">
                  <c:v>6</c:v>
                </c:pt>
                <c:pt idx="2">
                  <c:v>12</c:v>
                </c:pt>
                <c:pt idx="3">
                  <c:v>18</c:v>
                </c:pt>
                <c:pt idx="4">
                  <c:v>0</c:v>
                </c:pt>
                <c:pt idx="5">
                  <c:v>6</c:v>
                </c:pt>
                <c:pt idx="6">
                  <c:v>12</c:v>
                </c:pt>
                <c:pt idx="7">
                  <c:v>18</c:v>
                </c:pt>
                <c:pt idx="8">
                  <c:v>0</c:v>
                </c:pt>
                <c:pt idx="9">
                  <c:v>6</c:v>
                </c:pt>
                <c:pt idx="10">
                  <c:v>12</c:v>
                </c:pt>
                <c:pt idx="11">
                  <c:v>18</c:v>
                </c:pt>
                <c:pt idx="12">
                  <c:v>0</c:v>
                </c:pt>
                <c:pt idx="13">
                  <c:v>6</c:v>
                </c:pt>
                <c:pt idx="14">
                  <c:v>12</c:v>
                </c:pt>
                <c:pt idx="15">
                  <c:v>18</c:v>
                </c:pt>
                <c:pt idx="16">
                  <c:v>0</c:v>
                </c:pt>
                <c:pt idx="17">
                  <c:v>6</c:v>
                </c:pt>
                <c:pt idx="18">
                  <c:v>12</c:v>
                </c:pt>
                <c:pt idx="19">
                  <c:v>18</c:v>
                </c:pt>
                <c:pt idx="20">
                  <c:v>0</c:v>
                </c:pt>
                <c:pt idx="21">
                  <c:v>6</c:v>
                </c:pt>
                <c:pt idx="22">
                  <c:v>12</c:v>
                </c:pt>
                <c:pt idx="23">
                  <c:v>18</c:v>
                </c:pt>
                <c:pt idx="24">
                  <c:v>0</c:v>
                </c:pt>
                <c:pt idx="25">
                  <c:v>6</c:v>
                </c:pt>
                <c:pt idx="26">
                  <c:v>12</c:v>
                </c:pt>
                <c:pt idx="27">
                  <c:v>18</c:v>
                </c:pt>
                <c:pt idx="28">
                  <c:v>0</c:v>
                </c:pt>
                <c:pt idx="29">
                  <c:v>6</c:v>
                </c:pt>
                <c:pt idx="30">
                  <c:v>12</c:v>
                </c:pt>
                <c:pt idx="31">
                  <c:v>18</c:v>
                </c:pt>
                <c:pt idx="32">
                  <c:v>0</c:v>
                </c:pt>
                <c:pt idx="33">
                  <c:v>6</c:v>
                </c:pt>
                <c:pt idx="34">
                  <c:v>12</c:v>
                </c:pt>
                <c:pt idx="35">
                  <c:v>18</c:v>
                </c:pt>
                <c:pt idx="36">
                  <c:v>0</c:v>
                </c:pt>
                <c:pt idx="37">
                  <c:v>6</c:v>
                </c:pt>
                <c:pt idx="38">
                  <c:v>12</c:v>
                </c:pt>
                <c:pt idx="39">
                  <c:v>18</c:v>
                </c:pt>
                <c:pt idx="40">
                  <c:v>0</c:v>
                </c:pt>
                <c:pt idx="41">
                  <c:v>6</c:v>
                </c:pt>
                <c:pt idx="42">
                  <c:v>12</c:v>
                </c:pt>
                <c:pt idx="43">
                  <c:v>18</c:v>
                </c:pt>
                <c:pt idx="44">
                  <c:v>0</c:v>
                </c:pt>
                <c:pt idx="45">
                  <c:v>6</c:v>
                </c:pt>
                <c:pt idx="46">
                  <c:v>12</c:v>
                </c:pt>
                <c:pt idx="47">
                  <c:v>18</c:v>
                </c:pt>
                <c:pt idx="48">
                  <c:v>0</c:v>
                </c:pt>
                <c:pt idx="49">
                  <c:v>6</c:v>
                </c:pt>
                <c:pt idx="50">
                  <c:v>12</c:v>
                </c:pt>
                <c:pt idx="51">
                  <c:v>18</c:v>
                </c:pt>
                <c:pt idx="52">
                  <c:v>0</c:v>
                </c:pt>
                <c:pt idx="53">
                  <c:v>6</c:v>
                </c:pt>
                <c:pt idx="54">
                  <c:v>12</c:v>
                </c:pt>
                <c:pt idx="55">
                  <c:v>18</c:v>
                </c:pt>
              </c:numCache>
            </c:numRef>
          </c:cat>
          <c:val>
            <c:numRef>
              <c:f>'Orai 2 sav.'!$C$41:$BF$41</c:f>
              <c:numCache>
                <c:formatCode>General</c:formatCode>
                <c:ptCount val="56"/>
                <c:pt idx="0">
                  <c:v>2</c:v>
                </c:pt>
                <c:pt idx="1">
                  <c:v>4</c:v>
                </c:pt>
                <c:pt idx="2">
                  <c:v>6</c:v>
                </c:pt>
                <c:pt idx="3">
                  <c:v>5</c:v>
                </c:pt>
                <c:pt idx="4">
                  <c:v>3</c:v>
                </c:pt>
                <c:pt idx="5">
                  <c:v>1</c:v>
                </c:pt>
                <c:pt idx="6">
                  <c:v>5</c:v>
                </c:pt>
                <c:pt idx="7">
                  <c:v>3</c:v>
                </c:pt>
                <c:pt idx="8">
                  <c:v>2</c:v>
                </c:pt>
                <c:pt idx="9">
                  <c:v>2</c:v>
                </c:pt>
                <c:pt idx="10">
                  <c:v>5</c:v>
                </c:pt>
                <c:pt idx="11">
                  <c:v>3</c:v>
                </c:pt>
                <c:pt idx="12">
                  <c:v>5</c:v>
                </c:pt>
                <c:pt idx="13">
                  <c:v>9</c:v>
                </c:pt>
                <c:pt idx="14">
                  <c:v>11</c:v>
                </c:pt>
                <c:pt idx="15">
                  <c:v>8</c:v>
                </c:pt>
                <c:pt idx="16">
                  <c:v>7</c:v>
                </c:pt>
                <c:pt idx="17">
                  <c:v>6</c:v>
                </c:pt>
                <c:pt idx="18">
                  <c:v>6</c:v>
                </c:pt>
                <c:pt idx="19">
                  <c:v>4</c:v>
                </c:pt>
                <c:pt idx="20">
                  <c:v>3</c:v>
                </c:pt>
                <c:pt idx="21">
                  <c:v>3</c:v>
                </c:pt>
                <c:pt idx="22">
                  <c:v>6</c:v>
                </c:pt>
                <c:pt idx="23">
                  <c:v>4</c:v>
                </c:pt>
                <c:pt idx="24">
                  <c:v>4</c:v>
                </c:pt>
                <c:pt idx="25">
                  <c:v>3</c:v>
                </c:pt>
                <c:pt idx="26">
                  <c:v>5</c:v>
                </c:pt>
                <c:pt idx="27">
                  <c:v>3</c:v>
                </c:pt>
                <c:pt idx="28">
                  <c:v>2</c:v>
                </c:pt>
                <c:pt idx="29">
                  <c:v>1</c:v>
                </c:pt>
                <c:pt idx="30">
                  <c:v>3</c:v>
                </c:pt>
                <c:pt idx="31">
                  <c:v>3</c:v>
                </c:pt>
                <c:pt idx="32">
                  <c:v>2</c:v>
                </c:pt>
                <c:pt idx="33">
                  <c:v>1</c:v>
                </c:pt>
                <c:pt idx="34">
                  <c:v>8</c:v>
                </c:pt>
                <c:pt idx="35">
                  <c:v>7</c:v>
                </c:pt>
                <c:pt idx="36">
                  <c:v>5</c:v>
                </c:pt>
                <c:pt idx="37">
                  <c:v>3</c:v>
                </c:pt>
                <c:pt idx="38">
                  <c:v>9</c:v>
                </c:pt>
                <c:pt idx="39">
                  <c:v>5</c:v>
                </c:pt>
                <c:pt idx="40">
                  <c:v>3</c:v>
                </c:pt>
                <c:pt idx="41">
                  <c:v>1</c:v>
                </c:pt>
                <c:pt idx="42">
                  <c:v>6</c:v>
                </c:pt>
                <c:pt idx="43">
                  <c:v>4</c:v>
                </c:pt>
                <c:pt idx="44">
                  <c:v>2</c:v>
                </c:pt>
                <c:pt idx="45">
                  <c:v>3</c:v>
                </c:pt>
                <c:pt idx="46">
                  <c:v>7</c:v>
                </c:pt>
                <c:pt idx="47">
                  <c:v>1</c:v>
                </c:pt>
                <c:pt idx="48">
                  <c:v>0</c:v>
                </c:pt>
                <c:pt idx="49">
                  <c:v>1</c:v>
                </c:pt>
                <c:pt idx="50">
                  <c:v>7</c:v>
                </c:pt>
                <c:pt idx="51">
                  <c:v>4</c:v>
                </c:pt>
                <c:pt idx="52">
                  <c:v>3</c:v>
                </c:pt>
                <c:pt idx="53">
                  <c:v>3</c:v>
                </c:pt>
                <c:pt idx="54">
                  <c:v>8</c:v>
                </c:pt>
                <c:pt idx="55">
                  <c:v>7</c:v>
                </c:pt>
              </c:numCache>
            </c:numRef>
          </c:val>
          <c:extLst>
            <c:ext xmlns:c16="http://schemas.microsoft.com/office/drawing/2014/chart" uri="{C3380CC4-5D6E-409C-BE32-E72D297353CC}">
              <c16:uniqueId val="{00000000-7AB4-4B14-999F-2217AC413B30}"/>
            </c:ext>
          </c:extLst>
        </c:ser>
        <c:dLbls>
          <c:dLblPos val="outEnd"/>
          <c:showLegendKey val="0"/>
          <c:showVal val="1"/>
          <c:showCatName val="0"/>
          <c:showSerName val="0"/>
          <c:showPercent val="0"/>
          <c:showBubbleSize val="0"/>
        </c:dLbls>
        <c:gapWidth val="500"/>
        <c:overlap val="2"/>
        <c:axId val="436053192"/>
        <c:axId val="436054176"/>
      </c:barChart>
      <c:catAx>
        <c:axId val="436053192"/>
        <c:scaling>
          <c:orientation val="minMax"/>
        </c:scaling>
        <c:delete val="1"/>
        <c:axPos val="b"/>
        <c:numFmt formatCode="General" sourceLinked="0"/>
        <c:majorTickMark val="out"/>
        <c:minorTickMark val="none"/>
        <c:tickLblPos val="nextTo"/>
        <c:crossAx val="436054176"/>
        <c:crosses val="autoZero"/>
        <c:auto val="1"/>
        <c:lblAlgn val="ctr"/>
        <c:lblOffset val="50"/>
        <c:tickLblSkip val="1"/>
        <c:tickMarkSkip val="1"/>
        <c:noMultiLvlLbl val="0"/>
      </c:catAx>
      <c:valAx>
        <c:axId val="436054176"/>
        <c:scaling>
          <c:orientation val="minMax"/>
        </c:scaling>
        <c:delete val="1"/>
        <c:axPos val="l"/>
        <c:numFmt formatCode="General" sourceLinked="1"/>
        <c:majorTickMark val="out"/>
        <c:minorTickMark val="none"/>
        <c:tickLblPos val="nextTo"/>
        <c:crossAx val="436053192"/>
        <c:crosses val="autoZero"/>
        <c:crossBetween val="between"/>
      </c:valAx>
      <c:spPr>
        <a:noFill/>
        <a:ln>
          <a:noFill/>
        </a:ln>
        <a:effectLst/>
      </c:spPr>
    </c:plotArea>
    <c:plotVisOnly val="0"/>
    <c:dispBlanksAs val="gap"/>
    <c:showDLblsOverMax val="0"/>
  </c:chart>
  <c:spPr>
    <a:solidFill>
      <a:schemeClr val="bg1">
        <a:alpha val="0"/>
      </a:schemeClr>
    </a:solidFill>
    <a:ln w="9525" cap="flat" cmpd="sng" algn="ctr">
      <a:noFill/>
      <a:round/>
    </a:ln>
    <a:effectLst/>
  </c:spPr>
  <c:txPr>
    <a:bodyPr/>
    <a:lstStyle/>
    <a:p>
      <a:pPr>
        <a:defRPr/>
      </a:pPr>
      <a:endParaRPr lang="lt-LT"/>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lt-L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2579861850172574E-2"/>
          <c:y val="5.1873831063318721E-2"/>
          <c:w val="0.96546846935384067"/>
          <c:h val="0.80393843951324262"/>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lt-LT"/>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val>
            <c:numRef>
              <c:f>'Orai 2 sav.'!$C$44</c:f>
              <c:numCache>
                <c:formatCode>General</c:formatCode>
                <c:ptCount val="1"/>
                <c:pt idx="0">
                  <c:v>4.25</c:v>
                </c:pt>
              </c:numCache>
            </c:numRef>
          </c:val>
          <c:extLst>
            <c:ext xmlns:c16="http://schemas.microsoft.com/office/drawing/2014/chart" uri="{C3380CC4-5D6E-409C-BE32-E72D297353CC}">
              <c16:uniqueId val="{00000000-E38C-4451-AA49-050CB66C6962}"/>
            </c:ext>
          </c:extLst>
        </c:ser>
        <c:ser>
          <c:idx val="1"/>
          <c:order val="1"/>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lt-LT"/>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val>
            <c:numRef>
              <c:f>'Orai 2 sav.'!$D$44</c:f>
              <c:numCache>
                <c:formatCode>General</c:formatCode>
                <c:ptCount val="1"/>
                <c:pt idx="0">
                  <c:v>3</c:v>
                </c:pt>
              </c:numCache>
            </c:numRef>
          </c:val>
          <c:extLst>
            <c:ext xmlns:c16="http://schemas.microsoft.com/office/drawing/2014/chart" uri="{C3380CC4-5D6E-409C-BE32-E72D297353CC}">
              <c16:uniqueId val="{00000001-E38C-4451-AA49-050CB66C6962}"/>
            </c:ext>
          </c:extLst>
        </c:ser>
        <c:ser>
          <c:idx val="2"/>
          <c:order val="2"/>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lt-LT"/>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val>
            <c:numRef>
              <c:f>'Orai 2 sav.'!$E$44</c:f>
              <c:numCache>
                <c:formatCode>General</c:formatCode>
                <c:ptCount val="1"/>
                <c:pt idx="0">
                  <c:v>3</c:v>
                </c:pt>
              </c:numCache>
            </c:numRef>
          </c:val>
          <c:extLst>
            <c:ext xmlns:c16="http://schemas.microsoft.com/office/drawing/2014/chart" uri="{C3380CC4-5D6E-409C-BE32-E72D297353CC}">
              <c16:uniqueId val="{00000002-E38C-4451-AA49-050CB66C6962}"/>
            </c:ext>
          </c:extLst>
        </c:ser>
        <c:ser>
          <c:idx val="3"/>
          <c:order val="3"/>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lt-LT"/>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val>
            <c:numRef>
              <c:f>'Orai 2 sav.'!$F$44</c:f>
              <c:numCache>
                <c:formatCode>General</c:formatCode>
                <c:ptCount val="1"/>
                <c:pt idx="0">
                  <c:v>8.25</c:v>
                </c:pt>
              </c:numCache>
            </c:numRef>
          </c:val>
          <c:extLst>
            <c:ext xmlns:c16="http://schemas.microsoft.com/office/drawing/2014/chart" uri="{C3380CC4-5D6E-409C-BE32-E72D297353CC}">
              <c16:uniqueId val="{00000003-E38C-4451-AA49-050CB66C6962}"/>
            </c:ext>
          </c:extLst>
        </c:ser>
        <c:ser>
          <c:idx val="4"/>
          <c:order val="4"/>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lt-LT"/>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val>
            <c:numRef>
              <c:f>'Orai 2 sav.'!$G$44</c:f>
              <c:numCache>
                <c:formatCode>General</c:formatCode>
                <c:ptCount val="1"/>
                <c:pt idx="0">
                  <c:v>5.75</c:v>
                </c:pt>
              </c:numCache>
            </c:numRef>
          </c:val>
          <c:extLst>
            <c:ext xmlns:c16="http://schemas.microsoft.com/office/drawing/2014/chart" uri="{C3380CC4-5D6E-409C-BE32-E72D297353CC}">
              <c16:uniqueId val="{00000004-E38C-4451-AA49-050CB66C6962}"/>
            </c:ext>
          </c:extLst>
        </c:ser>
        <c:ser>
          <c:idx val="5"/>
          <c:order val="5"/>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lt-LT"/>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val>
            <c:numRef>
              <c:f>'Orai 2 sav.'!$H$44</c:f>
              <c:numCache>
                <c:formatCode>General</c:formatCode>
                <c:ptCount val="1"/>
                <c:pt idx="0">
                  <c:v>4</c:v>
                </c:pt>
              </c:numCache>
            </c:numRef>
          </c:val>
          <c:extLst>
            <c:ext xmlns:c16="http://schemas.microsoft.com/office/drawing/2014/chart" uri="{C3380CC4-5D6E-409C-BE32-E72D297353CC}">
              <c16:uniqueId val="{00000005-E38C-4451-AA49-050CB66C6962}"/>
            </c:ext>
          </c:extLst>
        </c:ser>
        <c:ser>
          <c:idx val="6"/>
          <c:order val="6"/>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lt-LT"/>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val>
            <c:numRef>
              <c:f>'Orai 2 sav.'!$I$44</c:f>
              <c:numCache>
                <c:formatCode>General</c:formatCode>
                <c:ptCount val="1"/>
                <c:pt idx="0">
                  <c:v>3.75</c:v>
                </c:pt>
              </c:numCache>
            </c:numRef>
          </c:val>
          <c:extLst>
            <c:ext xmlns:c16="http://schemas.microsoft.com/office/drawing/2014/chart" uri="{C3380CC4-5D6E-409C-BE32-E72D297353CC}">
              <c16:uniqueId val="{00000006-E38C-4451-AA49-050CB66C6962}"/>
            </c:ext>
          </c:extLst>
        </c:ser>
        <c:ser>
          <c:idx val="7"/>
          <c:order val="7"/>
          <c:spPr>
            <a:solidFill>
              <a:schemeClr val="accent2">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lt-LT"/>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val>
            <c:numRef>
              <c:f>'Orai 2 sav.'!$J$44</c:f>
              <c:numCache>
                <c:formatCode>General</c:formatCode>
                <c:ptCount val="1"/>
                <c:pt idx="0">
                  <c:v>2.25</c:v>
                </c:pt>
              </c:numCache>
            </c:numRef>
          </c:val>
          <c:extLst>
            <c:ext xmlns:c16="http://schemas.microsoft.com/office/drawing/2014/chart" uri="{C3380CC4-5D6E-409C-BE32-E72D297353CC}">
              <c16:uniqueId val="{00000007-E38C-4451-AA49-050CB66C6962}"/>
            </c:ext>
          </c:extLst>
        </c:ser>
        <c:ser>
          <c:idx val="8"/>
          <c:order val="8"/>
          <c:spPr>
            <a:solidFill>
              <a:schemeClr val="accent3">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lt-LT"/>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val>
            <c:numRef>
              <c:f>'Orai 2 sav.'!$K$44</c:f>
              <c:numCache>
                <c:formatCode>General</c:formatCode>
                <c:ptCount val="1"/>
                <c:pt idx="0">
                  <c:v>4.5</c:v>
                </c:pt>
              </c:numCache>
            </c:numRef>
          </c:val>
          <c:extLst>
            <c:ext xmlns:c16="http://schemas.microsoft.com/office/drawing/2014/chart" uri="{C3380CC4-5D6E-409C-BE32-E72D297353CC}">
              <c16:uniqueId val="{00000008-E38C-4451-AA49-050CB66C6962}"/>
            </c:ext>
          </c:extLst>
        </c:ser>
        <c:ser>
          <c:idx val="9"/>
          <c:order val="9"/>
          <c:spPr>
            <a:solidFill>
              <a:schemeClr val="accent4">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lt-LT"/>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val>
            <c:numRef>
              <c:f>'Orai 2 sav.'!$L$44</c:f>
              <c:numCache>
                <c:formatCode>General</c:formatCode>
                <c:ptCount val="1"/>
                <c:pt idx="0">
                  <c:v>5.5</c:v>
                </c:pt>
              </c:numCache>
            </c:numRef>
          </c:val>
          <c:extLst>
            <c:ext xmlns:c16="http://schemas.microsoft.com/office/drawing/2014/chart" uri="{C3380CC4-5D6E-409C-BE32-E72D297353CC}">
              <c16:uniqueId val="{00000009-E38C-4451-AA49-050CB66C6962}"/>
            </c:ext>
          </c:extLst>
        </c:ser>
        <c:ser>
          <c:idx val="10"/>
          <c:order val="10"/>
          <c:spPr>
            <a:solidFill>
              <a:schemeClr val="accent5">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lt-LT"/>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val>
            <c:numRef>
              <c:f>'Orai 2 sav.'!$M$44</c:f>
              <c:numCache>
                <c:formatCode>General</c:formatCode>
                <c:ptCount val="1"/>
                <c:pt idx="0">
                  <c:v>3.5</c:v>
                </c:pt>
              </c:numCache>
            </c:numRef>
          </c:val>
          <c:extLst>
            <c:ext xmlns:c16="http://schemas.microsoft.com/office/drawing/2014/chart" uri="{C3380CC4-5D6E-409C-BE32-E72D297353CC}">
              <c16:uniqueId val="{0000000A-E38C-4451-AA49-050CB66C6962}"/>
            </c:ext>
          </c:extLst>
        </c:ser>
        <c:ser>
          <c:idx val="11"/>
          <c:order val="11"/>
          <c:spPr>
            <a:solidFill>
              <a:schemeClr val="accent6">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lt-LT"/>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val>
            <c:numRef>
              <c:f>'Orai 2 sav.'!$N$44</c:f>
              <c:numCache>
                <c:formatCode>General</c:formatCode>
                <c:ptCount val="1"/>
                <c:pt idx="0">
                  <c:v>3.25</c:v>
                </c:pt>
              </c:numCache>
            </c:numRef>
          </c:val>
          <c:extLst>
            <c:ext xmlns:c16="http://schemas.microsoft.com/office/drawing/2014/chart" uri="{C3380CC4-5D6E-409C-BE32-E72D297353CC}">
              <c16:uniqueId val="{0000000B-E38C-4451-AA49-050CB66C6962}"/>
            </c:ext>
          </c:extLst>
        </c:ser>
        <c:ser>
          <c:idx val="12"/>
          <c:order val="12"/>
          <c:spPr>
            <a:solidFill>
              <a:schemeClr val="accent1">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lt-LT"/>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val>
            <c:numRef>
              <c:f>'Orai 2 sav.'!$O$44</c:f>
              <c:numCache>
                <c:formatCode>General</c:formatCode>
                <c:ptCount val="1"/>
                <c:pt idx="0">
                  <c:v>3</c:v>
                </c:pt>
              </c:numCache>
            </c:numRef>
          </c:val>
          <c:extLst>
            <c:ext xmlns:c16="http://schemas.microsoft.com/office/drawing/2014/chart" uri="{C3380CC4-5D6E-409C-BE32-E72D297353CC}">
              <c16:uniqueId val="{0000000C-E38C-4451-AA49-050CB66C6962}"/>
            </c:ext>
          </c:extLst>
        </c:ser>
        <c:ser>
          <c:idx val="13"/>
          <c:order val="13"/>
          <c:spPr>
            <a:solidFill>
              <a:schemeClr val="accent2">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lt-LT"/>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val>
            <c:numRef>
              <c:f>'Orai 2 sav.'!$P$44</c:f>
              <c:numCache>
                <c:formatCode>General</c:formatCode>
                <c:ptCount val="1"/>
                <c:pt idx="0">
                  <c:v>5.25</c:v>
                </c:pt>
              </c:numCache>
            </c:numRef>
          </c:val>
          <c:extLst>
            <c:ext xmlns:c16="http://schemas.microsoft.com/office/drawing/2014/chart" uri="{C3380CC4-5D6E-409C-BE32-E72D297353CC}">
              <c16:uniqueId val="{0000000D-E38C-4451-AA49-050CB66C6962}"/>
            </c:ext>
          </c:extLst>
        </c:ser>
        <c:dLbls>
          <c:dLblPos val="inEnd"/>
          <c:showLegendKey val="0"/>
          <c:showVal val="1"/>
          <c:showCatName val="0"/>
          <c:showSerName val="0"/>
          <c:showPercent val="0"/>
          <c:showBubbleSize val="0"/>
        </c:dLbls>
        <c:gapWidth val="150"/>
        <c:axId val="613807224"/>
        <c:axId val="613809520"/>
      </c:barChart>
      <c:catAx>
        <c:axId val="613807224"/>
        <c:scaling>
          <c:orientation val="minMax"/>
        </c:scaling>
        <c:delete val="0"/>
        <c:axPos val="b"/>
        <c:majorGridlines>
          <c:spPr>
            <a:ln w="9525" cap="flat" cmpd="sng" algn="ctr">
              <a:solidFill>
                <a:schemeClr val="dk1">
                  <a:lumMod val="15000"/>
                  <a:lumOff val="85000"/>
                </a:schemeClr>
              </a:solidFill>
              <a:round/>
            </a:ln>
            <a:effectLst/>
          </c:spPr>
        </c:majorGridlines>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lt-LT"/>
          </a:p>
        </c:txPr>
        <c:crossAx val="613809520"/>
        <c:crosses val="autoZero"/>
        <c:auto val="1"/>
        <c:lblAlgn val="ctr"/>
        <c:lblOffset val="100"/>
        <c:noMultiLvlLbl val="0"/>
      </c:catAx>
      <c:valAx>
        <c:axId val="613809520"/>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lt-LT"/>
          </a:p>
        </c:txPr>
        <c:crossAx val="613807224"/>
        <c:crosses val="autoZero"/>
        <c:crossBetween val="between"/>
      </c:valAx>
      <c:spPr>
        <a:pattFill prst="ltDnDiag">
          <a:fgClr>
            <a:schemeClr val="dk1">
              <a:lumMod val="15000"/>
              <a:lumOff val="85000"/>
            </a:schemeClr>
          </a:fgClr>
          <a:bgClr>
            <a:schemeClr val="lt1"/>
          </a:bgClr>
        </a:pattFill>
        <a:ln>
          <a:noFill/>
        </a:ln>
        <a:effectLst/>
      </c:spPr>
    </c:plotArea>
    <c:plotVisOnly val="1"/>
    <c:dispBlanksAs val="zero"/>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lt-LT"/>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82">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xdr:col>
      <xdr:colOff>0</xdr:colOff>
      <xdr:row>11</xdr:row>
      <xdr:rowOff>0</xdr:rowOff>
    </xdr:from>
    <xdr:to>
      <xdr:col>26</xdr:col>
      <xdr:colOff>1120</xdr:colOff>
      <xdr:row>21</xdr:row>
      <xdr:rowOff>0</xdr:rowOff>
    </xdr:to>
    <xdr:graphicFrame macro="">
      <xdr:nvGraphicFramePr>
        <xdr:cNvPr id="3" name="Diagrama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12</xdr:col>
          <xdr:colOff>0</xdr:colOff>
          <xdr:row>0</xdr:row>
          <xdr:rowOff>123825</xdr:rowOff>
        </xdr:from>
        <xdr:to>
          <xdr:col>16</xdr:col>
          <xdr:colOff>0</xdr:colOff>
          <xdr:row>2</xdr:row>
          <xdr:rowOff>28575</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t-LT" sz="1100" b="0" i="0" u="none" strike="noStrike" baseline="0">
                  <a:solidFill>
                    <a:srgbClr val="000000"/>
                  </a:solidFill>
                  <a:latin typeface="Calibri"/>
                  <a:cs typeface="Calibri"/>
                </a:rPr>
                <a:t>Atnaujinti duomenis iš GisMeteo.lt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24</xdr:row>
          <xdr:rowOff>19050</xdr:rowOff>
        </xdr:from>
        <xdr:to>
          <xdr:col>29</xdr:col>
          <xdr:colOff>0</xdr:colOff>
          <xdr:row>27</xdr:row>
          <xdr:rowOff>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lt-LT" sz="2400" b="0" i="0" u="none" strike="noStrike" baseline="0">
                  <a:solidFill>
                    <a:srgbClr val="000000"/>
                  </a:solidFill>
                  <a:latin typeface="Calibri"/>
                  <a:cs typeface="Calibri"/>
                </a:rPr>
                <a:t>Sutvarkyti</a:t>
              </a:r>
            </a:p>
          </xdr:txBody>
        </xdr:sp>
        <xdr:clientData fPrintsWithSheet="0"/>
      </xdr:twoCellAnchor>
    </mc:Choice>
    <mc:Fallback/>
  </mc:AlternateContent>
  <xdr:twoCellAnchor>
    <xdr:from>
      <xdr:col>0</xdr:col>
      <xdr:colOff>1</xdr:colOff>
      <xdr:row>28</xdr:row>
      <xdr:rowOff>0</xdr:rowOff>
    </xdr:from>
    <xdr:to>
      <xdr:col>30</xdr:col>
      <xdr:colOff>156883</xdr:colOff>
      <xdr:row>33</xdr:row>
      <xdr:rowOff>0</xdr:rowOff>
    </xdr:to>
    <xdr:graphicFrame macro="">
      <xdr:nvGraphicFramePr>
        <xdr:cNvPr id="2" name="Diagrama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935935</xdr:colOff>
      <xdr:row>11</xdr:row>
      <xdr:rowOff>0</xdr:rowOff>
    </xdr:from>
    <xdr:to>
      <xdr:col>57</xdr:col>
      <xdr:colOff>314738</xdr:colOff>
      <xdr:row>21</xdr:row>
      <xdr:rowOff>0</xdr:rowOff>
    </xdr:to>
    <xdr:graphicFrame macro="">
      <xdr:nvGraphicFramePr>
        <xdr:cNvPr id="2" name="Diagrama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179294</xdr:colOff>
      <xdr:row>25</xdr:row>
      <xdr:rowOff>0</xdr:rowOff>
    </xdr:from>
    <xdr:to>
      <xdr:col>63</xdr:col>
      <xdr:colOff>0</xdr:colOff>
      <xdr:row>26</xdr:row>
      <xdr:rowOff>0</xdr:rowOff>
    </xdr:to>
    <xdr:graphicFrame macro="">
      <xdr:nvGraphicFramePr>
        <xdr:cNvPr id="5" name="Diagrama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175933</xdr:colOff>
      <xdr:row>1</xdr:row>
      <xdr:rowOff>0</xdr:rowOff>
    </xdr:from>
    <xdr:to>
      <xdr:col>2</xdr:col>
      <xdr:colOff>1414183</xdr:colOff>
      <xdr:row>10</xdr:row>
      <xdr:rowOff>1</xdr:rowOff>
    </xdr:to>
    <mc:AlternateContent xmlns:mc="http://schemas.openxmlformats.org/markup-compatibility/2006" xmlns:sle15="http://schemas.microsoft.com/office/drawing/2012/slicer">
      <mc:Choice Requires="sle15">
        <xdr:graphicFrame macro="">
          <xdr:nvGraphicFramePr>
            <xdr:cNvPr id="2" name="Debesuotumas">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Debesuotumas"/>
            </a:graphicData>
          </a:graphic>
        </xdr:graphicFrame>
      </mc:Choice>
      <mc:Fallback xmlns="">
        <xdr:sp macro="" textlink="">
          <xdr:nvSpPr>
            <xdr:cNvPr id="0" name=""/>
            <xdr:cNvSpPr>
              <a:spLocks noTextEdit="1"/>
            </xdr:cNvSpPr>
          </xdr:nvSpPr>
          <xdr:spPr>
            <a:xfrm>
              <a:off x="8001001" y="190500"/>
              <a:ext cx="1238250" cy="1714501"/>
            </a:xfrm>
            <a:prstGeom prst="rect">
              <a:avLst/>
            </a:prstGeom>
            <a:solidFill>
              <a:prstClr val="white"/>
            </a:solidFill>
            <a:ln w="1">
              <a:solidFill>
                <a:prstClr val="green"/>
              </a:solidFill>
            </a:ln>
          </xdr:spPr>
          <xdr:txBody>
            <a:bodyPr vertOverflow="clip" horzOverflow="clip"/>
            <a:lstStyle/>
            <a:p>
              <a:r>
                <a:rPr lang="lt-LT" sz="1100"/>
                <a:t>Ši figūra reiškia lentelės duomenų filtrą. Lentelės duomenų filtrai palaikomi „Excel“ arba vėlesnėje versijoje.
Jei figūra buvo modifikuota naudojant ankstesnę „Excel“ versiją arba darbaknygė įrašyta „Excel 2007“ ar ankstesnėje versijoje, duomenų filtro naudoti negalima.</a:t>
              </a:r>
            </a:p>
          </xdr:txBody>
        </xdr:sp>
      </mc:Fallback>
    </mc:AlternateContent>
    <xdr:clientData/>
  </xdr:twoCellAnchor>
  <xdr:twoCellAnchor editAs="absolute">
    <xdr:from>
      <xdr:col>2</xdr:col>
      <xdr:colOff>1414182</xdr:colOff>
      <xdr:row>1</xdr:row>
      <xdr:rowOff>0</xdr:rowOff>
    </xdr:from>
    <xdr:to>
      <xdr:col>3</xdr:col>
      <xdr:colOff>45384</xdr:colOff>
      <xdr:row>10</xdr:row>
      <xdr:rowOff>1</xdr:rowOff>
    </xdr:to>
    <mc:AlternateContent xmlns:mc="http://schemas.openxmlformats.org/markup-compatibility/2006" xmlns:sle15="http://schemas.microsoft.com/office/drawing/2012/slicer">
      <mc:Choice Requires="sle15">
        <xdr:graphicFrame macro="">
          <xdr:nvGraphicFramePr>
            <xdr:cNvPr id="3" name="Lietus">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Lietus"/>
            </a:graphicData>
          </a:graphic>
        </xdr:graphicFrame>
      </mc:Choice>
      <mc:Fallback xmlns="">
        <xdr:sp macro="" textlink="">
          <xdr:nvSpPr>
            <xdr:cNvPr id="0" name=""/>
            <xdr:cNvSpPr>
              <a:spLocks noTextEdit="1"/>
            </xdr:cNvSpPr>
          </xdr:nvSpPr>
          <xdr:spPr>
            <a:xfrm>
              <a:off x="9239250" y="190500"/>
              <a:ext cx="1238250" cy="1714501"/>
            </a:xfrm>
            <a:prstGeom prst="rect">
              <a:avLst/>
            </a:prstGeom>
            <a:solidFill>
              <a:prstClr val="white"/>
            </a:solidFill>
            <a:ln w="1">
              <a:solidFill>
                <a:prstClr val="green"/>
              </a:solidFill>
            </a:ln>
          </xdr:spPr>
          <xdr:txBody>
            <a:bodyPr vertOverflow="clip" horzOverflow="clip"/>
            <a:lstStyle/>
            <a:p>
              <a:r>
                <a:rPr lang="lt-LT" sz="1100"/>
                <a:t>Ši figūra reiškia lentelės duomenų filtrą. Lentelės duomenų filtrai palaikomi „Excel“ arba vėlesnėje versijoje.
Jei figūra buvo modifikuota naudojant ankstesnę „Excel“ versiją arba darbaknygė įrašyta „Excel 2007“ ar ankstesnėje versijoje, duomenų filtro naudoti negalima.</a:t>
              </a:r>
            </a:p>
          </xdr:txBody>
        </xdr:sp>
      </mc:Fallback>
    </mc:AlternateContent>
    <xdr:clientData/>
  </xdr:twoCellAnchor>
  <xdr:twoCellAnchor editAs="absolute">
    <xdr:from>
      <xdr:col>3</xdr:col>
      <xdr:colOff>45384</xdr:colOff>
      <xdr:row>1</xdr:row>
      <xdr:rowOff>0</xdr:rowOff>
    </xdr:from>
    <xdr:to>
      <xdr:col>4</xdr:col>
      <xdr:colOff>350183</xdr:colOff>
      <xdr:row>10</xdr:row>
      <xdr:rowOff>1</xdr:rowOff>
    </xdr:to>
    <mc:AlternateContent xmlns:mc="http://schemas.openxmlformats.org/markup-compatibility/2006" xmlns:sle15="http://schemas.microsoft.com/office/drawing/2012/slicer">
      <mc:Choice Requires="sle15">
        <xdr:graphicFrame macro="">
          <xdr:nvGraphicFramePr>
            <xdr:cNvPr id="4" name="Temperatūr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0/slicer">
              <sle:slicer xmlns:sle="http://schemas.microsoft.com/office/drawing/2010/slicer" name="Temperatūra"/>
            </a:graphicData>
          </a:graphic>
        </xdr:graphicFrame>
      </mc:Choice>
      <mc:Fallback xmlns="">
        <xdr:sp macro="" textlink="">
          <xdr:nvSpPr>
            <xdr:cNvPr id="0" name=""/>
            <xdr:cNvSpPr>
              <a:spLocks noTextEdit="1"/>
            </xdr:cNvSpPr>
          </xdr:nvSpPr>
          <xdr:spPr>
            <a:xfrm>
              <a:off x="10477500" y="190500"/>
              <a:ext cx="1238250" cy="1714501"/>
            </a:xfrm>
            <a:prstGeom prst="rect">
              <a:avLst/>
            </a:prstGeom>
            <a:solidFill>
              <a:prstClr val="white"/>
            </a:solidFill>
            <a:ln w="1">
              <a:solidFill>
                <a:prstClr val="green"/>
              </a:solidFill>
            </a:ln>
          </xdr:spPr>
          <xdr:txBody>
            <a:bodyPr vertOverflow="clip" horzOverflow="clip"/>
            <a:lstStyle/>
            <a:p>
              <a:r>
                <a:rPr lang="lt-LT" sz="1100"/>
                <a:t>Ši figūra reiškia lentelės duomenų filtrą. Lentelės duomenų filtrai palaikomi „Excel“ arba vėlesnėje versijoje.
Jei figūra buvo modifikuota naudojant ankstesnę „Excel“ versiją arba darbaknygė įrašyta „Excel 2007“ ar ankstesnėje versijoje, duomenų filtro naudoti negalima.</a:t>
              </a:r>
            </a:p>
          </xdr:txBody>
        </xdr:sp>
      </mc:Fallback>
    </mc:AlternateContent>
    <xdr:clientData/>
  </xdr:twoCellAnchor>
  <xdr:twoCellAnchor editAs="absolute">
    <xdr:from>
      <xdr:col>4</xdr:col>
      <xdr:colOff>350183</xdr:colOff>
      <xdr:row>1</xdr:row>
      <xdr:rowOff>0</xdr:rowOff>
    </xdr:from>
    <xdr:to>
      <xdr:col>4</xdr:col>
      <xdr:colOff>1593476</xdr:colOff>
      <xdr:row>10</xdr:row>
      <xdr:rowOff>1</xdr:rowOff>
    </xdr:to>
    <mc:AlternateContent xmlns:mc="http://schemas.openxmlformats.org/markup-compatibility/2006" xmlns:sle15="http://schemas.microsoft.com/office/drawing/2012/slicer">
      <mc:Choice Requires="sle15">
        <xdr:graphicFrame macro="">
          <xdr:nvGraphicFramePr>
            <xdr:cNvPr id="5" name="Vėjas">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microsoft.com/office/drawing/2010/slicer">
              <sle:slicer xmlns:sle="http://schemas.microsoft.com/office/drawing/2010/slicer" name="Vėjas"/>
            </a:graphicData>
          </a:graphic>
        </xdr:graphicFrame>
      </mc:Choice>
      <mc:Fallback xmlns="">
        <xdr:sp macro="" textlink="">
          <xdr:nvSpPr>
            <xdr:cNvPr id="0" name=""/>
            <xdr:cNvSpPr>
              <a:spLocks noTextEdit="1"/>
            </xdr:cNvSpPr>
          </xdr:nvSpPr>
          <xdr:spPr>
            <a:xfrm>
              <a:off x="11715750" y="190500"/>
              <a:ext cx="1238250" cy="1714501"/>
            </a:xfrm>
            <a:prstGeom prst="rect">
              <a:avLst/>
            </a:prstGeom>
            <a:solidFill>
              <a:prstClr val="white"/>
            </a:solidFill>
            <a:ln w="1">
              <a:solidFill>
                <a:prstClr val="green"/>
              </a:solidFill>
            </a:ln>
          </xdr:spPr>
          <xdr:txBody>
            <a:bodyPr vertOverflow="clip" horzOverflow="clip"/>
            <a:lstStyle/>
            <a:p>
              <a:r>
                <a:rPr lang="lt-LT" sz="1100"/>
                <a:t>Ši figūra reiškia lentelės duomenų filtrą. Lentelės duomenų filtrai palaikomi „Excel“ arba vėlesnėje versijoje.
Jei figūra buvo modifikuota naudojant ankstesnę „Excel“ versiją arba darbaknygė įrašyta „Excel 2007“ ar ankstesnėje versijoje, duomenų filtro naudoti negalima.</a:t>
              </a:r>
            </a:p>
          </xdr:txBody>
        </xdr:sp>
      </mc:Fallback>
    </mc:AlternateContent>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wdaily1" refreshOnLoad="1" connectionId="2" xr16:uid="{00000000-0016-0000-0200-00000000000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4202" refreshOnLoad="1" connectionId="1" xr16:uid="{00000000-0016-0000-0300-000001000000}" autoFormatId="16" applyNumberFormats="0" applyBorderFormats="0" applyFontFormats="1" applyPatternFormats="1" applyAlignmentFormats="0" applyWidthHeightFormats="0"/>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uomenųFiltras_Debesuotumas" xr10:uid="{00000000-0013-0000-FFFF-FFFF01000000}" sourceName="Debesuotumas">
  <extLst>
    <x:ext xmlns:x15="http://schemas.microsoft.com/office/spreadsheetml/2010/11/main" uri="{2F2917AC-EB37-4324-AD4E-5DD8C200BD13}">
      <x15:tableSlicerCache tableId="1"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uomenųFiltras_Lietus" xr10:uid="{00000000-0013-0000-FFFF-FFFF02000000}" sourceName="Krituliai">
  <extLst>
    <x:ext xmlns:x15="http://schemas.microsoft.com/office/spreadsheetml/2010/11/main" uri="{2F2917AC-EB37-4324-AD4E-5DD8C200BD13}">
      <x15:tableSlicerCache tableId="1" column="2"/>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uomenųFiltras_Temperatūra" xr10:uid="{00000000-0013-0000-FFFF-FFFF03000000}" sourceName="Temperatūra">
  <extLst>
    <x:ext xmlns:x15="http://schemas.microsoft.com/office/spreadsheetml/2010/11/main" uri="{2F2917AC-EB37-4324-AD4E-5DD8C200BD13}">
      <x15:tableSlicerCache tableId="1" column="3"/>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uomenųFiltras_Vėjas" xr10:uid="{00000000-0013-0000-FFFF-FFFF04000000}" sourceName="Vėjas">
  <extLst>
    <x:ext xmlns:x15="http://schemas.microsoft.com/office/spreadsheetml/2010/11/main" uri="{2F2917AC-EB37-4324-AD4E-5DD8C200BD13}">
      <x15:tableSlicerCache tableId="1" column="4"/>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besuotumas" xr10:uid="{00000000-0014-0000-FFFF-FFFF01000000}" cache="DuomenųFiltras_Debesuotumas" caption="Debesuotumas" rowHeight="241300"/>
  <slicer name="Lietus" xr10:uid="{00000000-0014-0000-FFFF-FFFF02000000}" cache="DuomenųFiltras_Lietus" caption="Krituliai" rowHeight="241300"/>
  <slicer name="Temperatūra" xr10:uid="{00000000-0014-0000-FFFF-FFFF03000000}" cache="DuomenųFiltras_Temperatūra" caption="Temperatūra" rowHeight="241300"/>
  <slicer name="Vėjas" xr10:uid="{00000000-0014-0000-FFFF-FFFF04000000}" cache="DuomenųFiltras_Vėjas" caption="Stulpelis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Lentelė2" displayName="Lentelė2" ref="A50:H57" totalsRowShown="0" headerRowDxfId="50" dataDxfId="49" tableBorderDxfId="48">
  <autoFilter ref="A50:H57" xr:uid="{00000000-0009-0000-0100-000002000000}"/>
  <tableColumns count="8">
    <tableColumn id="8" xr3:uid="{00000000-0010-0000-0000-000008000000}" name="Šiandien yra" dataDxfId="47">
      <calculatedColumnFormula>IF(WEEKDAY(TODAY(),2)=Lentelė2[[#This Row],[sav.d.skaitine išr.]],TODAY(),"")</calculatedColumnFormula>
    </tableColumn>
    <tableColumn id="1" xr3:uid="{00000000-0010-0000-0000-000001000000}" name="Savaitės dienos" dataDxfId="46"/>
    <tableColumn id="2" xr3:uid="{00000000-0010-0000-0000-000002000000}" name="Savaitės dienos2" dataDxfId="45"/>
    <tableColumn id="3" xr3:uid="{00000000-0010-0000-0000-000003000000}" name="Vakar buvo" dataDxfId="44"/>
    <tableColumn id="4" xr3:uid="{00000000-0010-0000-0000-000004000000}" name="Vakar buvo2" dataDxfId="43"/>
    <tableColumn id="5" xr3:uid="{00000000-0010-0000-0000-000005000000}" name="Rytoj bus" dataDxfId="42"/>
    <tableColumn id="6" xr3:uid="{00000000-0010-0000-0000-000006000000}" name="Rytoj bus2" dataDxfId="41"/>
    <tableColumn id="7" xr3:uid="{00000000-0010-0000-0000-000007000000}" name="sav.d.skaitine išr." dataDxfId="40">
      <calculatedColumnFormula>WEEKDAY(#REF!,2)</calculatedColumnFormula>
    </tableColumn>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Lentelė1" displayName="Lentelė1" ref="M66:P115" totalsRowShown="0" headerRowDxfId="39" dataDxfId="38" tableBorderDxfId="37" dataCellStyle="Blogas">
  <autoFilter ref="M66:P115" xr:uid="{00000000-0009-0000-0100-000001000000}"/>
  <tableColumns count="4">
    <tableColumn id="1" xr3:uid="{00000000-0010-0000-0100-000001000000}" name="Debesuotumas" dataDxfId="36" dataCellStyle="Blogas"/>
    <tableColumn id="2" xr3:uid="{00000000-0010-0000-0100-000002000000}" name="Krituliai" dataDxfId="35" dataCellStyle="Blogas"/>
    <tableColumn id="4" xr3:uid="{00000000-0010-0000-0100-000004000000}" name="Vėjas" dataDxfId="34" dataCellStyle="Blogas">
      <calculatedColumnFormula>VLOOKUP(L67,Atitikmenys!C:D,2,0)</calculatedColumnFormula>
    </tableColumn>
    <tableColumn id="3" xr3:uid="{00000000-0010-0000-0100-000003000000}" name="Temperatūra" dataDxfId="33" dataCellStyle="Blogas">
      <calculatedColumnFormula>VLOOKUP(K67,Atitikmenys!A:C,2,0)</calculatedColumnFormula>
    </tableColumn>
  </tableColumns>
  <tableStyleInfo name="TableStyleLight8" showFirstColumn="0" showLastColumn="0" showRowStripes="1" showColumnStripes="0"/>
</table>
</file>

<file path=xl/theme/theme1.xml><?xml version="1.0" encoding="utf-8"?>
<a:theme xmlns:a="http://schemas.openxmlformats.org/drawingml/2006/main" name="„Office“ tema">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queryTable" Target="../queryTables/queryTable1.xml"/><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Lapas1">
    <pageSetUpPr fitToPage="1"/>
  </sheetPr>
  <dimension ref="A1:BN74"/>
  <sheetViews>
    <sheetView tabSelected="1" zoomScaleNormal="100" zoomScaleSheetLayoutView="100" workbookViewId="0">
      <selection sqref="A1:B1"/>
    </sheetView>
  </sheetViews>
  <sheetFormatPr defaultColWidth="4.42578125" defaultRowHeight="15" outlineLevelRow="1" x14ac:dyDescent="0.25"/>
  <cols>
    <col min="1" max="1" width="15.5703125" style="376" customWidth="1"/>
    <col min="2" max="2" width="6.5703125" style="413" customWidth="1"/>
    <col min="3" max="26" width="9.42578125" style="416" customWidth="1"/>
    <col min="27" max="30" width="7.28515625" style="367" customWidth="1"/>
    <col min="31" max="66" width="4.42578125" style="367"/>
    <col min="67" max="16384" width="4.42578125" style="416"/>
  </cols>
  <sheetData>
    <row r="1" spans="1:66" s="303" customFormat="1" ht="31.5" customHeight="1" x14ac:dyDescent="0.25">
      <c r="A1" s="430" t="str">
        <f ca="1">'3dien'!J52</f>
        <v>Orai Kaune</v>
      </c>
      <c r="B1" s="430"/>
      <c r="C1" s="298"/>
      <c r="D1" s="299"/>
      <c r="E1" s="438" t="s">
        <v>191</v>
      </c>
      <c r="F1" s="438"/>
      <c r="G1" s="438"/>
      <c r="H1" s="438"/>
      <c r="I1" s="299"/>
      <c r="J1" s="300"/>
      <c r="K1" s="298"/>
      <c r="L1" s="301"/>
      <c r="M1" s="301"/>
      <c r="N1" s="301"/>
      <c r="O1" s="301"/>
      <c r="P1" s="301"/>
      <c r="Q1" s="301"/>
      <c r="R1" s="300"/>
      <c r="S1" s="298"/>
      <c r="T1" s="301"/>
      <c r="U1" s="301"/>
      <c r="V1" s="301"/>
      <c r="W1" s="301"/>
      <c r="X1" s="301"/>
      <c r="Y1" s="301"/>
      <c r="Z1" s="300"/>
      <c r="AA1" s="302"/>
      <c r="AB1" s="302"/>
      <c r="AC1" s="302"/>
      <c r="AD1" s="302"/>
      <c r="AE1" s="302"/>
      <c r="AF1" s="302"/>
      <c r="AG1" s="302"/>
      <c r="AH1" s="302"/>
      <c r="AI1" s="302"/>
      <c r="AJ1" s="302"/>
      <c r="AK1" s="302"/>
      <c r="AL1" s="302"/>
      <c r="AM1" s="302"/>
      <c r="AN1" s="302"/>
      <c r="AO1" s="302"/>
      <c r="AP1" s="302"/>
      <c r="AQ1" s="302"/>
      <c r="AR1" s="302"/>
      <c r="AS1" s="302"/>
      <c r="AT1" s="302"/>
      <c r="AU1" s="302"/>
      <c r="AV1" s="302"/>
      <c r="AW1" s="302"/>
      <c r="AX1" s="302"/>
      <c r="AY1" s="302"/>
      <c r="AZ1" s="302"/>
      <c r="BA1" s="302"/>
      <c r="BB1" s="302"/>
      <c r="BC1" s="302"/>
      <c r="BD1" s="302"/>
      <c r="BE1" s="302"/>
      <c r="BF1" s="302"/>
      <c r="BG1" s="302"/>
      <c r="BH1" s="302"/>
      <c r="BI1" s="302"/>
      <c r="BJ1" s="302"/>
      <c r="BK1" s="302"/>
      <c r="BL1" s="302"/>
      <c r="BM1" s="302"/>
      <c r="BN1" s="302"/>
    </row>
    <row r="2" spans="1:66" s="311" customFormat="1" ht="13.5" customHeight="1" x14ac:dyDescent="0.25">
      <c r="A2" s="434" t="str">
        <f ca="1">CONCATENATE("Vakar buvo ",VLOOKUP('3dien'!J53,$B$54:$E$61,4,0))</f>
        <v>Vakar buvo sekmadienis</v>
      </c>
      <c r="B2" s="434"/>
      <c r="C2" s="304"/>
      <c r="D2" s="305">
        <f ca="1">SUM('3dien'!Q:Q)</f>
        <v>0.33958333333333335</v>
      </c>
      <c r="E2" s="299"/>
      <c r="F2" s="299"/>
      <c r="G2" s="299"/>
      <c r="H2" s="299"/>
      <c r="I2" s="299"/>
      <c r="J2" s="306">
        <f ca="1">SUM('3dien'!R:R)</f>
        <v>0.75416666666666676</v>
      </c>
      <c r="K2" s="307"/>
      <c r="L2" s="308"/>
      <c r="M2" s="308"/>
      <c r="N2" s="308"/>
      <c r="O2" s="308"/>
      <c r="P2" s="308"/>
      <c r="Q2" s="308"/>
      <c r="R2" s="309"/>
      <c r="S2" s="307"/>
      <c r="T2" s="308"/>
      <c r="U2" s="308"/>
      <c r="V2" s="308"/>
      <c r="W2" s="308"/>
      <c r="X2" s="308"/>
      <c r="Y2" s="308"/>
      <c r="Z2" s="309"/>
      <c r="AA2" s="310"/>
      <c r="AB2" s="310"/>
      <c r="AC2" s="310"/>
      <c r="AD2" s="310"/>
      <c r="AE2" s="310"/>
      <c r="AF2" s="310"/>
      <c r="AG2" s="310"/>
      <c r="AH2" s="310"/>
      <c r="AI2" s="310"/>
      <c r="AJ2" s="310"/>
      <c r="AK2" s="310"/>
      <c r="AL2" s="310"/>
      <c r="AM2" s="310"/>
      <c r="AN2" s="310"/>
      <c r="AO2" s="310"/>
      <c r="AP2" s="310"/>
      <c r="AQ2" s="310"/>
      <c r="AR2" s="310"/>
      <c r="AS2" s="310"/>
      <c r="AT2" s="310"/>
      <c r="AU2" s="310"/>
      <c r="AV2" s="310"/>
      <c r="AW2" s="310"/>
      <c r="AX2" s="310"/>
      <c r="AY2" s="310"/>
      <c r="AZ2" s="310"/>
      <c r="BA2" s="310"/>
      <c r="BB2" s="310"/>
      <c r="BC2" s="310"/>
      <c r="BD2" s="310"/>
      <c r="BE2" s="310"/>
      <c r="BF2" s="310"/>
      <c r="BG2" s="310"/>
      <c r="BH2" s="310"/>
      <c r="BI2" s="310"/>
      <c r="BJ2" s="310"/>
      <c r="BK2" s="310"/>
      <c r="BL2" s="310"/>
      <c r="BM2" s="310"/>
      <c r="BN2" s="310"/>
    </row>
    <row r="3" spans="1:66" s="317" customFormat="1" ht="24" thickBot="1" x14ac:dyDescent="0.25">
      <c r="A3" s="435">
        <f ca="1">H4-1</f>
        <v>43030</v>
      </c>
      <c r="B3" s="435"/>
      <c r="C3" s="312" t="str">
        <f t="shared" ref="C3:J3" ca="1" si="0">IF(AND(HOUR(NOW())&gt;=C35,HOUR(NOW())&lt;D35),TEXT(NOW(),"hh:mm"),"")</f>
        <v/>
      </c>
      <c r="D3" s="313" t="str">
        <f t="shared" ca="1" si="0"/>
        <v/>
      </c>
      <c r="E3" s="314" t="str">
        <f t="shared" ca="1" si="0"/>
        <v>06:37</v>
      </c>
      <c r="F3" s="314" t="str">
        <f t="shared" ca="1" si="0"/>
        <v/>
      </c>
      <c r="G3" s="314" t="str">
        <f t="shared" ca="1" si="0"/>
        <v/>
      </c>
      <c r="H3" s="314" t="str">
        <f t="shared" ca="1" si="0"/>
        <v/>
      </c>
      <c r="I3" s="314" t="str">
        <f t="shared" ca="1" si="0"/>
        <v/>
      </c>
      <c r="J3" s="315" t="str">
        <f t="shared" ca="1" si="0"/>
        <v/>
      </c>
      <c r="K3" s="307"/>
      <c r="L3" s="308"/>
      <c r="M3" s="308"/>
      <c r="N3" s="308"/>
      <c r="O3" s="308"/>
      <c r="P3" s="308"/>
      <c r="Q3" s="308"/>
      <c r="R3" s="309"/>
      <c r="S3" s="307"/>
      <c r="T3" s="308"/>
      <c r="U3" s="308"/>
      <c r="V3" s="308"/>
      <c r="W3" s="308"/>
      <c r="X3" s="308"/>
      <c r="Y3" s="308"/>
      <c r="Z3" s="309"/>
      <c r="AA3" s="316"/>
    </row>
    <row r="4" spans="1:66" s="323" customFormat="1" ht="24" customHeight="1" thickTop="1" thickBot="1" x14ac:dyDescent="0.3">
      <c r="A4" s="318">
        <v>43031.275740740741</v>
      </c>
      <c r="B4" s="319" t="str">
        <f>CONCATENATE("updated ",":",SECOND(A4)," sec")</f>
        <v>updated :4 sec</v>
      </c>
      <c r="C4" s="436" t="str">
        <f ca="1">CONCATENATE(VLOOKUP('3dien'!J53,B:C,2,0))</f>
        <v>pirmadienis</v>
      </c>
      <c r="D4" s="436"/>
      <c r="E4" s="436"/>
      <c r="F4" s="300"/>
      <c r="G4" s="298"/>
      <c r="H4" s="432">
        <f ca="1">TODAY()</f>
        <v>43031</v>
      </c>
      <c r="I4" s="432"/>
      <c r="J4" s="433"/>
      <c r="K4" s="439" t="str">
        <f ca="1">CONCATENATE(VLOOKUP('3dien'!J56,B:C,2,0))</f>
        <v>antradienis</v>
      </c>
      <c r="L4" s="440"/>
      <c r="M4" s="440"/>
      <c r="N4" s="320"/>
      <c r="O4" s="443">
        <f ca="1">$H$4+1</f>
        <v>43032</v>
      </c>
      <c r="P4" s="443">
        <f ca="1">H4+1</f>
        <v>43032</v>
      </c>
      <c r="Q4" s="443"/>
      <c r="R4" s="443"/>
      <c r="S4" s="441" t="str">
        <f ca="1">CONCATENATE(VLOOKUP('3dien'!J59,B:C,2,0))</f>
        <v>trečiadienis</v>
      </c>
      <c r="T4" s="442"/>
      <c r="U4" s="442"/>
      <c r="V4" s="321"/>
      <c r="W4" s="443">
        <f ca="1">$O$4+1</f>
        <v>43033</v>
      </c>
      <c r="X4" s="443">
        <f ca="1">O4+1</f>
        <v>43033</v>
      </c>
      <c r="Y4" s="443"/>
      <c r="Z4" s="443"/>
      <c r="AA4" s="322"/>
      <c r="AB4" s="322"/>
      <c r="AC4" s="322"/>
      <c r="AD4" s="322"/>
      <c r="AE4" s="322"/>
      <c r="AF4" s="322"/>
      <c r="AG4" s="322"/>
      <c r="AH4" s="322"/>
      <c r="AI4" s="322"/>
      <c r="AJ4" s="322"/>
      <c r="AK4" s="322"/>
      <c r="AL4" s="322"/>
      <c r="AM4" s="322"/>
      <c r="AN4" s="322"/>
      <c r="AO4" s="322"/>
      <c r="AP4" s="322"/>
      <c r="AQ4" s="322"/>
      <c r="AR4" s="322"/>
      <c r="AS4" s="322"/>
      <c r="AT4" s="322"/>
      <c r="AU4" s="322"/>
      <c r="AV4" s="322"/>
      <c r="AW4" s="322"/>
      <c r="AX4" s="322"/>
      <c r="AY4" s="322"/>
      <c r="AZ4" s="322"/>
      <c r="BA4" s="322"/>
      <c r="BB4" s="322"/>
      <c r="BC4" s="322"/>
      <c r="BD4" s="322"/>
      <c r="BE4" s="322"/>
      <c r="BF4" s="322"/>
      <c r="BG4" s="322"/>
      <c r="BH4" s="322"/>
      <c r="BI4" s="322"/>
      <c r="BJ4" s="322"/>
      <c r="BK4" s="322"/>
      <c r="BL4" s="322"/>
      <c r="BM4" s="322"/>
      <c r="BN4" s="322"/>
    </row>
    <row r="5" spans="1:66" s="324" customFormat="1" ht="15.75" customHeight="1" thickTop="1" x14ac:dyDescent="0.25">
      <c r="B5" s="325" t="s">
        <v>273</v>
      </c>
      <c r="C5" s="326" t="str">
        <f ca="1">REPT("x",ROUNDDOWN(SUM(HOUR(NOW()),(MINUTE(NOW()))/60)*4.35,0)+1)</f>
        <v>xxxxxxxxxxxxxxxxxxxxxxxxxxxxx</v>
      </c>
      <c r="D5" s="327"/>
      <c r="E5" s="328"/>
      <c r="F5" s="329"/>
      <c r="G5" s="329"/>
      <c r="H5" s="329"/>
      <c r="I5" s="328"/>
      <c r="J5" s="328"/>
      <c r="K5" s="330"/>
      <c r="L5" s="328"/>
      <c r="M5" s="328"/>
      <c r="N5" s="329"/>
      <c r="O5" s="329"/>
      <c r="P5" s="329"/>
      <c r="Q5" s="328"/>
      <c r="R5" s="328"/>
      <c r="S5" s="330"/>
      <c r="T5" s="328"/>
      <c r="U5" s="328"/>
      <c r="V5" s="329"/>
      <c r="W5" s="329"/>
      <c r="X5" s="329"/>
      <c r="Y5" s="328"/>
      <c r="Z5" s="328"/>
      <c r="AA5" s="328"/>
      <c r="AB5" s="328"/>
      <c r="AC5" s="328"/>
      <c r="AD5" s="328"/>
      <c r="AE5" s="328"/>
      <c r="AF5" s="328"/>
      <c r="AG5" s="328"/>
      <c r="AH5" s="328"/>
      <c r="AI5" s="328"/>
      <c r="AJ5" s="328"/>
      <c r="AK5" s="328"/>
      <c r="AL5" s="328"/>
      <c r="AM5" s="328"/>
      <c r="AN5" s="328"/>
      <c r="AO5" s="328"/>
      <c r="AP5" s="328"/>
      <c r="AQ5" s="328"/>
      <c r="AR5" s="328"/>
      <c r="AS5" s="328"/>
      <c r="AT5" s="328"/>
      <c r="AU5" s="328"/>
      <c r="AV5" s="328"/>
      <c r="AW5" s="328"/>
      <c r="AX5" s="328"/>
      <c r="AY5" s="328"/>
      <c r="AZ5" s="328"/>
      <c r="BA5" s="328"/>
      <c r="BB5" s="328"/>
      <c r="BC5" s="328"/>
      <c r="BD5" s="328"/>
      <c r="BE5" s="328"/>
      <c r="BF5" s="328"/>
      <c r="BG5" s="328"/>
      <c r="BH5" s="328"/>
      <c r="BI5" s="328"/>
      <c r="BJ5" s="328"/>
      <c r="BK5" s="328"/>
      <c r="BL5" s="328"/>
      <c r="BM5" s="328"/>
      <c r="BN5" s="328"/>
    </row>
    <row r="6" spans="1:66" s="336" customFormat="1" x14ac:dyDescent="0.25">
      <c r="A6" s="331" t="s">
        <v>121</v>
      </c>
      <c r="B6" s="332"/>
      <c r="C6" s="326" t="s">
        <v>162</v>
      </c>
      <c r="D6" s="327" t="s">
        <v>163</v>
      </c>
      <c r="E6" s="333" t="s">
        <v>164</v>
      </c>
      <c r="F6" s="333" t="s">
        <v>165</v>
      </c>
      <c r="G6" s="333" t="s">
        <v>166</v>
      </c>
      <c r="H6" s="333" t="s">
        <v>167</v>
      </c>
      <c r="I6" s="333" t="s">
        <v>168</v>
      </c>
      <c r="J6" s="334" t="s">
        <v>169</v>
      </c>
      <c r="K6" s="326" t="s">
        <v>162</v>
      </c>
      <c r="L6" s="327" t="s">
        <v>163</v>
      </c>
      <c r="M6" s="333" t="s">
        <v>164</v>
      </c>
      <c r="N6" s="333" t="s">
        <v>165</v>
      </c>
      <c r="O6" s="333" t="s">
        <v>166</v>
      </c>
      <c r="P6" s="333" t="s">
        <v>167</v>
      </c>
      <c r="Q6" s="333" t="s">
        <v>168</v>
      </c>
      <c r="R6" s="334" t="s">
        <v>169</v>
      </c>
      <c r="S6" s="326" t="s">
        <v>162</v>
      </c>
      <c r="T6" s="327" t="s">
        <v>163</v>
      </c>
      <c r="U6" s="333" t="s">
        <v>164</v>
      </c>
      <c r="V6" s="333" t="s">
        <v>165</v>
      </c>
      <c r="W6" s="333" t="s">
        <v>166</v>
      </c>
      <c r="X6" s="333" t="s">
        <v>167</v>
      </c>
      <c r="Y6" s="333" t="s">
        <v>168</v>
      </c>
      <c r="Z6" s="334" t="s">
        <v>169</v>
      </c>
      <c r="AA6" s="335"/>
      <c r="AB6" s="332"/>
      <c r="AC6" s="332"/>
      <c r="AD6" s="332"/>
      <c r="AE6" s="332"/>
      <c r="AF6" s="332"/>
      <c r="AG6" s="332"/>
      <c r="AH6" s="332"/>
      <c r="AI6" s="332"/>
      <c r="AJ6" s="332"/>
      <c r="AK6" s="332"/>
      <c r="AL6" s="332"/>
      <c r="AM6" s="332"/>
      <c r="AN6" s="332"/>
      <c r="AO6" s="332"/>
      <c r="AP6" s="332"/>
      <c r="AQ6" s="332"/>
      <c r="AR6" s="332"/>
      <c r="AS6" s="332"/>
      <c r="AT6" s="332"/>
      <c r="AU6" s="332"/>
      <c r="AV6" s="332"/>
      <c r="AW6" s="332"/>
      <c r="AX6" s="332"/>
      <c r="AY6" s="332"/>
      <c r="AZ6" s="332"/>
      <c r="BA6" s="332"/>
      <c r="BB6" s="332"/>
      <c r="BC6" s="332"/>
      <c r="BD6" s="332"/>
      <c r="BE6" s="332"/>
      <c r="BF6" s="332"/>
      <c r="BG6" s="332"/>
      <c r="BH6" s="332"/>
      <c r="BI6" s="332"/>
      <c r="BJ6" s="332"/>
      <c r="BK6" s="332"/>
      <c r="BL6" s="332"/>
      <c r="BM6" s="332"/>
      <c r="BN6" s="332"/>
    </row>
    <row r="7" spans="1:66" s="311" customFormat="1" ht="12" x14ac:dyDescent="0.25">
      <c r="A7" s="337"/>
      <c r="B7" s="310"/>
      <c r="C7" s="338"/>
      <c r="D7" s="339"/>
      <c r="E7" s="310"/>
      <c r="F7" s="310"/>
      <c r="G7" s="310"/>
      <c r="H7" s="310"/>
      <c r="I7" s="310"/>
      <c r="J7" s="340"/>
      <c r="K7" s="338"/>
      <c r="L7" s="339"/>
      <c r="M7" s="310"/>
      <c r="N7" s="310"/>
      <c r="O7" s="310"/>
      <c r="P7" s="310"/>
      <c r="Q7" s="310"/>
      <c r="R7" s="340"/>
      <c r="S7" s="338"/>
      <c r="T7" s="339"/>
      <c r="U7" s="310"/>
      <c r="V7" s="310"/>
      <c r="W7" s="310"/>
      <c r="X7" s="310"/>
      <c r="Y7" s="310"/>
      <c r="Z7" s="340"/>
      <c r="AA7" s="341"/>
      <c r="AB7" s="310"/>
      <c r="AC7" s="310"/>
      <c r="AD7" s="310"/>
      <c r="AE7" s="310"/>
      <c r="AF7" s="310"/>
      <c r="AG7" s="310"/>
      <c r="AH7" s="310"/>
      <c r="AI7" s="310"/>
      <c r="AJ7" s="310"/>
      <c r="AK7" s="310"/>
      <c r="AL7" s="310"/>
      <c r="AM7" s="310"/>
      <c r="AN7" s="310"/>
      <c r="AO7" s="310"/>
      <c r="AP7" s="310"/>
      <c r="AQ7" s="310"/>
      <c r="AR7" s="310"/>
      <c r="AS7" s="310"/>
      <c r="AT7" s="310"/>
      <c r="AU7" s="310"/>
      <c r="AV7" s="310"/>
      <c r="AW7" s="310"/>
      <c r="AX7" s="310"/>
      <c r="AY7" s="310"/>
      <c r="AZ7" s="310"/>
      <c r="BA7" s="310"/>
      <c r="BB7" s="310"/>
      <c r="BC7" s="310"/>
      <c r="BD7" s="310"/>
      <c r="BE7" s="310"/>
      <c r="BF7" s="310"/>
      <c r="BG7" s="310"/>
      <c r="BH7" s="310"/>
      <c r="BI7" s="310"/>
      <c r="BJ7" s="310"/>
      <c r="BK7" s="310"/>
      <c r="BL7" s="310"/>
      <c r="BM7" s="310"/>
      <c r="BN7" s="310"/>
    </row>
    <row r="8" spans="1:66" s="347" customFormat="1" ht="39" customHeight="1" x14ac:dyDescent="0.25">
      <c r="A8" s="342" t="s">
        <v>110</v>
      </c>
      <c r="B8" s="343"/>
      <c r="C8" s="344" t="str">
        <f ca="1">IF(OR(C37="Õ",C37="Ö"),"à",C37)</f>
        <v>ÙÙ</v>
      </c>
      <c r="D8" s="345" t="str">
        <f ca="1">IF(OR(D37="Õ",D37="Ö"),"à",D37)</f>
        <v>ÙÙ</v>
      </c>
      <c r="E8" s="345" t="str">
        <f ca="1">IF(E37=0,"",E37)</f>
        <v>ÙÙ</v>
      </c>
      <c r="F8" s="345" t="str">
        <f ca="1">IF(F37=0,"",F37)</f>
        <v>ÙÙ</v>
      </c>
      <c r="G8" s="345" t="str">
        <f ca="1">IF(G37=0,"",G37)</f>
        <v>ÙÙ</v>
      </c>
      <c r="H8" s="345" t="str">
        <f ca="1">IF(H37=0,"",H37)</f>
        <v>ÙÙ</v>
      </c>
      <c r="I8" s="345" t="str">
        <f ca="1">IF(I37=0,"",I37)</f>
        <v>ÙÙ</v>
      </c>
      <c r="J8" s="345" t="str">
        <f ca="1">IF(OR(J37="Õ",J37="Ö"),"à",J37)</f>
        <v>ÙÙ</v>
      </c>
      <c r="K8" s="344" t="str">
        <f ca="1">IF(OR(K37="Õ",K37="Ö"),"à",K37)</f>
        <v>Ù</v>
      </c>
      <c r="L8" s="345" t="str">
        <f ca="1">IF(OR(L37="Õ",L37="Ö"),"à",L37)</f>
        <v>Ù</v>
      </c>
      <c r="M8" s="345" t="str">
        <f ca="1">IF(M37=0,"",M37)</f>
        <v>Ù</v>
      </c>
      <c r="N8" s="345" t="str">
        <f ca="1">IF(N37=0,"",N37)</f>
        <v>Ö</v>
      </c>
      <c r="O8" s="345" t="str">
        <f ca="1">IF(O37=0,"",O37)</f>
        <v>Ö</v>
      </c>
      <c r="P8" s="345" t="str">
        <f ca="1">IF(P37=0,"",P37)</f>
        <v>ÙÙ</v>
      </c>
      <c r="Q8" s="345" t="str">
        <f ca="1">IF(Q37=0,"",Q37)</f>
        <v>ÙÙ</v>
      </c>
      <c r="R8" s="345" t="str">
        <f ca="1">IF(OR(R37="Õ",R37="Ö"),"à",R37)</f>
        <v>ÙÙ</v>
      </c>
      <c r="S8" s="344" t="str">
        <f ca="1">IF(OR(S37="Õ",S37="Ö"),"à",S37)</f>
        <v>Ù</v>
      </c>
      <c r="T8" s="345" t="str">
        <f ca="1">IF(OR(T37="Õ",T37="Ö"),"à",T37)</f>
        <v>à</v>
      </c>
      <c r="U8" s="345" t="str">
        <f ca="1">IF(U37=0,"",U37)</f>
        <v>Ù</v>
      </c>
      <c r="V8" s="345" t="str">
        <f ca="1">IF(V37=0,"",V37)</f>
        <v>ÙÙ</v>
      </c>
      <c r="W8" s="345" t="str">
        <f ca="1">IF(W37=0,"",W37)</f>
        <v>Ö</v>
      </c>
      <c r="X8" s="345" t="str">
        <f ca="1">IF(X37=0,"",X37)</f>
        <v>ÙÙ</v>
      </c>
      <c r="Y8" s="345" t="str">
        <f ca="1">IF(Y37=0,"",Y37)</f>
        <v>ÙÙ</v>
      </c>
      <c r="Z8" s="345" t="str">
        <f ca="1">IF(OR(Z37="Õ",Z37="Ö"),"à",Z37)</f>
        <v>ÙÙ</v>
      </c>
      <c r="AA8" s="346"/>
      <c r="AB8" s="343"/>
      <c r="AC8" s="343"/>
      <c r="AD8" s="343"/>
      <c r="AE8" s="343"/>
      <c r="AF8" s="343"/>
      <c r="AG8" s="343"/>
      <c r="AH8" s="343"/>
      <c r="AI8" s="343"/>
      <c r="AJ8" s="343"/>
      <c r="AK8" s="343"/>
      <c r="AL8" s="343"/>
      <c r="AM8" s="343"/>
      <c r="AN8" s="343"/>
      <c r="AO8" s="343"/>
      <c r="AP8" s="343"/>
      <c r="AQ8" s="343"/>
      <c r="AR8" s="343"/>
      <c r="AS8" s="343"/>
      <c r="AT8" s="343"/>
      <c r="AU8" s="343"/>
      <c r="AV8" s="343"/>
      <c r="AW8" s="343"/>
      <c r="AX8" s="343"/>
      <c r="AY8" s="343"/>
      <c r="AZ8" s="343"/>
      <c r="BA8" s="343"/>
      <c r="BB8" s="343"/>
      <c r="BC8" s="343"/>
      <c r="BD8" s="343"/>
      <c r="BE8" s="343"/>
      <c r="BF8" s="343"/>
      <c r="BG8" s="343"/>
      <c r="BH8" s="343"/>
      <c r="BI8" s="343"/>
      <c r="BJ8" s="343"/>
      <c r="BK8" s="343"/>
      <c r="BL8" s="343"/>
      <c r="BM8" s="343"/>
      <c r="BN8" s="343"/>
    </row>
    <row r="9" spans="1:66" s="347" customFormat="1" ht="58.5" customHeight="1" x14ac:dyDescent="0.25">
      <c r="A9" s="342" t="s">
        <v>111</v>
      </c>
      <c r="B9" s="343"/>
      <c r="C9" s="348" t="str">
        <f t="shared" ref="C9:Z9" ca="1" si="1">C38</f>
        <v xml:space="preserve"> </v>
      </c>
      <c r="D9" s="349" t="str">
        <f t="shared" ca="1" si="1"/>
        <v xml:space="preserve"> </v>
      </c>
      <c r="E9" s="350" t="str">
        <f t="shared" ca="1" si="1"/>
        <v xml:space="preserve"> </v>
      </c>
      <c r="F9" s="350" t="str">
        <f t="shared" ca="1" si="1"/>
        <v xml:space="preserve"> </v>
      </c>
      <c r="G9" s="350" t="str">
        <f t="shared" ca="1" si="1"/>
        <v xml:space="preserve"> </v>
      </c>
      <c r="H9" s="350" t="str">
        <f t="shared" ca="1" si="1"/>
        <v xml:space="preserve"> </v>
      </c>
      <c r="I9" s="350" t="str">
        <f t="shared" ca="1" si="1"/>
        <v xml:space="preserve"> </v>
      </c>
      <c r="J9" s="351" t="str">
        <f t="shared" ca="1" si="1"/>
        <v xml:space="preserve"> </v>
      </c>
      <c r="K9" s="348" t="str">
        <f t="shared" ca="1" si="1"/>
        <v xml:space="preserve"> </v>
      </c>
      <c r="L9" s="349" t="str">
        <f t="shared" ca="1" si="1"/>
        <v xml:space="preserve"> </v>
      </c>
      <c r="M9" s="350" t="str">
        <f t="shared" ca="1" si="1"/>
        <v xml:space="preserve"> </v>
      </c>
      <c r="N9" s="350" t="str">
        <f t="shared" ca="1" si="1"/>
        <v xml:space="preserve"> </v>
      </c>
      <c r="O9" s="350" t="str">
        <f t="shared" ca="1" si="1"/>
        <v xml:space="preserve"> </v>
      </c>
      <c r="P9" s="350" t="str">
        <f t="shared" ca="1" si="1"/>
        <v xml:space="preserve"> </v>
      </c>
      <c r="Q9" s="350" t="str">
        <f t="shared" ca="1" si="1"/>
        <v xml:space="preserve"> </v>
      </c>
      <c r="R9" s="351" t="str">
        <f t="shared" ca="1" si="1"/>
        <v xml:space="preserve"> </v>
      </c>
      <c r="S9" s="348" t="str">
        <f t="shared" ca="1" si="1"/>
        <v xml:space="preserve"> </v>
      </c>
      <c r="T9" s="349" t="str">
        <f t="shared" ca="1" si="1"/>
        <v xml:space="preserve"> </v>
      </c>
      <c r="U9" s="350" t="str">
        <f t="shared" ca="1" si="1"/>
        <v xml:space="preserve"> </v>
      </c>
      <c r="V9" s="350" t="str">
        <f t="shared" ca="1" si="1"/>
        <v xml:space="preserve"> </v>
      </c>
      <c r="W9" s="350" t="str">
        <f t="shared" ca="1" si="1"/>
        <v xml:space="preserve"> </v>
      </c>
      <c r="X9" s="350" t="str">
        <f t="shared" ca="1" si="1"/>
        <v xml:space="preserve"> </v>
      </c>
      <c r="Y9" s="350" t="str">
        <f t="shared" ca="1" si="1"/>
        <v>S</v>
      </c>
      <c r="Z9" s="351" t="str">
        <f t="shared" ca="1" si="1"/>
        <v>SS</v>
      </c>
      <c r="AA9" s="346"/>
      <c r="AB9" s="343"/>
      <c r="AC9" s="343"/>
      <c r="AD9" s="343"/>
      <c r="AE9" s="343"/>
      <c r="AF9" s="343"/>
      <c r="AG9" s="343"/>
      <c r="AH9" s="343"/>
      <c r="AI9" s="343"/>
      <c r="AJ9" s="343"/>
      <c r="AK9" s="343"/>
      <c r="AL9" s="343"/>
      <c r="AM9" s="343"/>
      <c r="AN9" s="343"/>
      <c r="AO9" s="343"/>
      <c r="AP9" s="343"/>
      <c r="AQ9" s="343"/>
      <c r="AR9" s="343"/>
      <c r="AS9" s="343"/>
      <c r="AT9" s="343"/>
      <c r="AU9" s="343"/>
      <c r="AV9" s="343"/>
      <c r="AW9" s="343"/>
      <c r="AX9" s="343"/>
      <c r="AY9" s="343"/>
      <c r="AZ9" s="343"/>
      <c r="BA9" s="343"/>
      <c r="BB9" s="343"/>
      <c r="BC9" s="343"/>
      <c r="BD9" s="343"/>
      <c r="BE9" s="343"/>
      <c r="BF9" s="343"/>
      <c r="BG9" s="343"/>
      <c r="BH9" s="343"/>
      <c r="BI9" s="343"/>
      <c r="BJ9" s="343"/>
      <c r="BK9" s="343"/>
      <c r="BL9" s="343"/>
      <c r="BM9" s="343"/>
      <c r="BN9" s="343"/>
    </row>
    <row r="10" spans="1:66" s="353" customFormat="1" ht="15.75" x14ac:dyDescent="0.25">
      <c r="A10" s="352" t="s">
        <v>245</v>
      </c>
      <c r="C10" s="354"/>
      <c r="D10" s="355"/>
      <c r="F10" s="437" t="s">
        <v>170</v>
      </c>
      <c r="G10" s="437"/>
      <c r="H10" s="437"/>
      <c r="I10" s="356"/>
      <c r="J10" s="357"/>
      <c r="K10" s="354"/>
      <c r="L10" s="355"/>
      <c r="N10" s="437" t="s">
        <v>170</v>
      </c>
      <c r="O10" s="437"/>
      <c r="P10" s="437"/>
      <c r="Q10" s="356"/>
      <c r="R10" s="357"/>
      <c r="S10" s="354"/>
      <c r="T10" s="355"/>
      <c r="V10" s="437" t="s">
        <v>170</v>
      </c>
      <c r="W10" s="437"/>
      <c r="X10" s="437"/>
      <c r="Y10" s="356"/>
      <c r="Z10" s="357"/>
      <c r="AA10" s="358"/>
    </row>
    <row r="11" spans="1:66" s="367" customFormat="1" ht="15.75" x14ac:dyDescent="0.25">
      <c r="A11" s="359" t="str">
        <f>CONCATENATE(Parametrai!A5," ",Parametrai!B5,"-",Parametrai!C5)</f>
        <v>Kaip šaldytuve 1-10</v>
      </c>
      <c r="B11" s="360"/>
      <c r="C11" s="361" t="s">
        <v>162</v>
      </c>
      <c r="D11" s="362" t="s">
        <v>163</v>
      </c>
      <c r="E11" s="363" t="s">
        <v>164</v>
      </c>
      <c r="F11" s="364" t="s">
        <v>165</v>
      </c>
      <c r="G11" s="363" t="s">
        <v>166</v>
      </c>
      <c r="H11" s="363" t="s">
        <v>167</v>
      </c>
      <c r="I11" s="363" t="s">
        <v>168</v>
      </c>
      <c r="J11" s="365" t="s">
        <v>169</v>
      </c>
      <c r="K11" s="361" t="s">
        <v>162</v>
      </c>
      <c r="L11" s="362" t="s">
        <v>163</v>
      </c>
      <c r="M11" s="363" t="s">
        <v>164</v>
      </c>
      <c r="N11" s="363" t="s">
        <v>165</v>
      </c>
      <c r="O11" s="363" t="s">
        <v>166</v>
      </c>
      <c r="P11" s="363" t="s">
        <v>167</v>
      </c>
      <c r="Q11" s="363" t="s">
        <v>168</v>
      </c>
      <c r="R11" s="365" t="s">
        <v>169</v>
      </c>
      <c r="S11" s="361" t="s">
        <v>162</v>
      </c>
      <c r="T11" s="362" t="s">
        <v>163</v>
      </c>
      <c r="U11" s="363" t="s">
        <v>164</v>
      </c>
      <c r="V11" s="363" t="s">
        <v>165</v>
      </c>
      <c r="W11" s="363" t="s">
        <v>166</v>
      </c>
      <c r="X11" s="363" t="s">
        <v>167</v>
      </c>
      <c r="Y11" s="363" t="s">
        <v>168</v>
      </c>
      <c r="Z11" s="365" t="s">
        <v>169</v>
      </c>
      <c r="AA11" s="366"/>
    </row>
    <row r="12" spans="1:66" s="367" customFormat="1" ht="15.75" x14ac:dyDescent="0.25">
      <c r="A12" s="368" t="str">
        <f>CONCATENATE(Parametrai!A6," ",Parametrai!B6,"-",Parametrai!C6)</f>
        <v>Vėsoka 11-15</v>
      </c>
      <c r="B12" s="369"/>
      <c r="C12" s="370" t="str">
        <f ca="1">REPT("x",ROUNDDOWN(SUM(HOUR(NOW()),(MINUTE(NOW()))/60)*4.35,0)+1)</f>
        <v>xxxxxxxxxxxxxxxxxxxxxxxxxxxxx</v>
      </c>
      <c r="D12" s="371"/>
      <c r="E12" s="372"/>
      <c r="F12" s="372"/>
      <c r="G12" s="372"/>
      <c r="H12" s="372"/>
      <c r="I12" s="372"/>
      <c r="J12" s="373"/>
      <c r="K12" s="374"/>
      <c r="L12" s="371"/>
      <c r="M12" s="372"/>
      <c r="N12" s="372"/>
      <c r="O12" s="372"/>
      <c r="P12" s="372"/>
      <c r="Q12" s="372"/>
      <c r="R12" s="373"/>
      <c r="S12" s="374"/>
      <c r="T12" s="371"/>
      <c r="U12" s="372"/>
      <c r="V12" s="372"/>
      <c r="W12" s="372"/>
      <c r="X12" s="372"/>
      <c r="Y12" s="372"/>
      <c r="Z12" s="375"/>
      <c r="AA12" s="366"/>
    </row>
    <row r="13" spans="1:66" s="367" customFormat="1" x14ac:dyDescent="0.25">
      <c r="A13" s="376" t="str">
        <f>CONCATENATE(Parametrai!A7," ",Parametrai!B7,"-",Parametrai!C7)</f>
        <v>Darbinė zona 16-20</v>
      </c>
      <c r="C13" s="377" t="s">
        <v>142</v>
      </c>
      <c r="D13" s="378"/>
      <c r="E13" s="379"/>
      <c r="F13" s="379"/>
      <c r="G13" s="379"/>
      <c r="H13" s="379"/>
      <c r="I13" s="379"/>
      <c r="J13" s="380"/>
      <c r="K13" s="377"/>
      <c r="L13" s="378"/>
      <c r="M13" s="379"/>
      <c r="N13" s="379"/>
      <c r="O13" s="379"/>
      <c r="P13" s="379"/>
      <c r="Q13" s="379"/>
      <c r="R13" s="380"/>
      <c r="S13" s="377"/>
      <c r="T13" s="378"/>
      <c r="U13" s="379"/>
      <c r="V13" s="379"/>
      <c r="W13" s="379"/>
      <c r="X13" s="379"/>
      <c r="Y13" s="379"/>
      <c r="Z13" s="381"/>
      <c r="AA13" s="366"/>
    </row>
    <row r="14" spans="1:66" s="367" customFormat="1" outlineLevel="1" x14ac:dyDescent="0.25">
      <c r="A14" s="382" t="str">
        <f>CONCATENATE(Parametrai!A8," ",Parametrai!B8,"-",Parametrai!C8)</f>
        <v>Komfort.zona 21-25</v>
      </c>
      <c r="B14" s="382"/>
      <c r="C14" s="377" t="s">
        <v>142</v>
      </c>
      <c r="D14" s="378"/>
      <c r="E14" s="379"/>
      <c r="F14" s="379"/>
      <c r="G14" s="379"/>
      <c r="H14" s="379"/>
      <c r="I14" s="379"/>
      <c r="J14" s="380"/>
      <c r="K14" s="377"/>
      <c r="L14" s="378"/>
      <c r="M14" s="379"/>
      <c r="N14" s="379"/>
      <c r="O14" s="379"/>
      <c r="P14" s="379"/>
      <c r="Q14" s="379"/>
      <c r="R14" s="380"/>
      <c r="S14" s="377"/>
      <c r="T14" s="378"/>
      <c r="U14" s="379"/>
      <c r="V14" s="379"/>
      <c r="W14" s="379"/>
      <c r="X14" s="379"/>
      <c r="Y14" s="379"/>
      <c r="Z14" s="381"/>
      <c r="AA14" s="366"/>
    </row>
    <row r="15" spans="1:66" s="367" customFormat="1" outlineLevel="1" x14ac:dyDescent="0.25">
      <c r="A15" s="383" t="str">
        <f>CONCATENATE(Parametrai!A9," ",Parametrai!B9,"-",Parametrai!C9)</f>
        <v>Karšta 26-30</v>
      </c>
      <c r="B15" s="384"/>
      <c r="C15" s="377" t="s">
        <v>142</v>
      </c>
      <c r="D15" s="378"/>
      <c r="E15" s="379"/>
      <c r="F15" s="379"/>
      <c r="G15" s="379"/>
      <c r="H15" s="379"/>
      <c r="I15" s="379"/>
      <c r="J15" s="380"/>
      <c r="K15" s="377"/>
      <c r="L15" s="378"/>
      <c r="M15" s="379"/>
      <c r="N15" s="379"/>
      <c r="O15" s="379"/>
      <c r="P15" s="379"/>
      <c r="Q15" s="379"/>
      <c r="R15" s="380"/>
      <c r="S15" s="377"/>
      <c r="T15" s="378"/>
      <c r="U15" s="379"/>
      <c r="V15" s="379"/>
      <c r="W15" s="379"/>
      <c r="X15" s="379"/>
      <c r="Y15" s="379"/>
      <c r="Z15" s="381"/>
      <c r="AA15" s="366"/>
    </row>
    <row r="16" spans="1:66" s="367" customFormat="1" outlineLevel="1" x14ac:dyDescent="0.25">
      <c r="A16" s="385" t="str">
        <f>CONCATENATE(Parametrai!A10," ",Parametrai!B10,"-",Parametrai!C10)</f>
        <v>Per karšta 31-35</v>
      </c>
      <c r="B16" s="386"/>
      <c r="C16" s="377" t="s">
        <v>142</v>
      </c>
      <c r="D16" s="378"/>
      <c r="E16" s="379"/>
      <c r="F16" s="379"/>
      <c r="G16" s="379"/>
      <c r="H16" s="379"/>
      <c r="I16" s="379"/>
      <c r="J16" s="380"/>
      <c r="K16" s="377"/>
      <c r="L16" s="378"/>
      <c r="M16" s="379"/>
      <c r="N16" s="379"/>
      <c r="O16" s="379"/>
      <c r="P16" s="379"/>
      <c r="Q16" s="379"/>
      <c r="R16" s="380"/>
      <c r="S16" s="377"/>
      <c r="T16" s="378"/>
      <c r="U16" s="379"/>
      <c r="V16" s="379"/>
      <c r="W16" s="379"/>
      <c r="X16" s="379"/>
      <c r="Y16" s="379"/>
      <c r="Z16" s="381"/>
      <c r="AA16" s="366"/>
    </row>
    <row r="17" spans="1:66" s="367" customFormat="1" outlineLevel="1" x14ac:dyDescent="0.25">
      <c r="A17" s="387" t="str">
        <f>CONCATENATE(Parametrai!A11," ",Parametrai!B11,"-",Parametrai!C11)</f>
        <v>Kaitra 36-40</v>
      </c>
      <c r="B17" s="387"/>
      <c r="C17" s="377" t="s">
        <v>142</v>
      </c>
      <c r="D17" s="378"/>
      <c r="E17" s="379"/>
      <c r="F17" s="379"/>
      <c r="G17" s="379"/>
      <c r="H17" s="379"/>
      <c r="I17" s="379"/>
      <c r="J17" s="380"/>
      <c r="K17" s="377"/>
      <c r="L17" s="378"/>
      <c r="M17" s="379"/>
      <c r="N17" s="379"/>
      <c r="O17" s="379"/>
      <c r="P17" s="379"/>
      <c r="Q17" s="379"/>
      <c r="R17" s="380"/>
      <c r="S17" s="377"/>
      <c r="T17" s="378"/>
      <c r="U17" s="379"/>
      <c r="V17" s="379"/>
      <c r="W17" s="379"/>
      <c r="X17" s="379"/>
      <c r="Y17" s="379"/>
      <c r="Z17" s="381"/>
      <c r="AA17" s="366"/>
    </row>
    <row r="18" spans="1:66" s="367" customFormat="1" outlineLevel="1" x14ac:dyDescent="0.25">
      <c r="A18" s="388" t="str">
        <f>CONCATENATE(Parametrai!A12," ",Parametrai!B12,"-",Parametrai!C12)</f>
        <v>Pragaras 41-50</v>
      </c>
      <c r="B18" s="389"/>
      <c r="C18" s="377" t="s">
        <v>142</v>
      </c>
      <c r="D18" s="378"/>
      <c r="E18" s="379"/>
      <c r="F18" s="379"/>
      <c r="G18" s="379"/>
      <c r="H18" s="379"/>
      <c r="I18" s="379"/>
      <c r="J18" s="380"/>
      <c r="K18" s="377"/>
      <c r="L18" s="378"/>
      <c r="M18" s="379"/>
      <c r="N18" s="379"/>
      <c r="O18" s="379"/>
      <c r="P18" s="379"/>
      <c r="Q18" s="379"/>
      <c r="R18" s="380"/>
      <c r="S18" s="377"/>
      <c r="T18" s="378"/>
      <c r="U18" s="379"/>
      <c r="V18" s="379"/>
      <c r="W18" s="379"/>
      <c r="X18" s="379"/>
      <c r="Y18" s="379"/>
      <c r="Z18" s="381"/>
      <c r="AA18" s="366"/>
    </row>
    <row r="19" spans="1:66" s="367" customFormat="1" outlineLevel="1" x14ac:dyDescent="0.25">
      <c r="C19" s="377" t="s">
        <v>142</v>
      </c>
      <c r="D19" s="378"/>
      <c r="E19" s="379"/>
      <c r="F19" s="379"/>
      <c r="G19" s="379"/>
      <c r="H19" s="379"/>
      <c r="I19" s="379"/>
      <c r="J19" s="380"/>
      <c r="K19" s="377"/>
      <c r="L19" s="378"/>
      <c r="M19" s="379"/>
      <c r="N19" s="379"/>
      <c r="O19" s="379"/>
      <c r="P19" s="379"/>
      <c r="Q19" s="379"/>
      <c r="R19" s="380"/>
      <c r="S19" s="377"/>
      <c r="T19" s="378"/>
      <c r="U19" s="379"/>
      <c r="V19" s="379"/>
      <c r="W19" s="379"/>
      <c r="X19" s="379"/>
      <c r="Y19" s="379"/>
      <c r="Z19" s="381"/>
      <c r="AA19" s="366"/>
    </row>
    <row r="20" spans="1:66" s="367" customFormat="1" x14ac:dyDescent="0.25">
      <c r="A20" s="390" t="s">
        <v>244</v>
      </c>
      <c r="C20" s="377" t="s">
        <v>142</v>
      </c>
      <c r="D20" s="378"/>
      <c r="E20" s="379"/>
      <c r="F20" s="379"/>
      <c r="G20" s="379"/>
      <c r="H20" s="379"/>
      <c r="I20" s="379"/>
      <c r="J20" s="380"/>
      <c r="K20" s="377"/>
      <c r="L20" s="378"/>
      <c r="M20" s="379"/>
      <c r="N20" s="379"/>
      <c r="O20" s="379"/>
      <c r="P20" s="379"/>
      <c r="Q20" s="379"/>
      <c r="R20" s="380"/>
      <c r="S20" s="377"/>
      <c r="T20" s="378"/>
      <c r="U20" s="379"/>
      <c r="V20" s="379"/>
      <c r="W20" s="379"/>
      <c r="X20" s="379"/>
      <c r="Y20" s="379"/>
      <c r="Z20" s="381"/>
      <c r="AA20" s="366"/>
    </row>
    <row r="21" spans="1:66" s="367" customFormat="1" x14ac:dyDescent="0.25">
      <c r="A21" s="352" t="s">
        <v>295</v>
      </c>
      <c r="B21" s="391" t="s">
        <v>190</v>
      </c>
      <c r="C21" s="392" t="str">
        <f ca="1">REPT("x",ROUNDDOWN(SUM(HOUR(NOW()),(MINUTE(NOW()))/60)*4.35,0)+1)</f>
        <v>xxxxxxxxxxxxxxxxxxxxxxxxxxxxx</v>
      </c>
      <c r="D21" s="378"/>
      <c r="E21" s="379"/>
      <c r="F21" s="379"/>
      <c r="G21" s="379"/>
      <c r="H21" s="379"/>
      <c r="I21" s="379"/>
      <c r="J21" s="380"/>
      <c r="K21" s="377"/>
      <c r="L21" s="378"/>
      <c r="M21" s="379"/>
      <c r="N21" s="379"/>
      <c r="O21" s="379"/>
      <c r="P21" s="379"/>
      <c r="Q21" s="379"/>
      <c r="R21" s="380"/>
      <c r="S21" s="377"/>
      <c r="T21" s="378"/>
      <c r="U21" s="379"/>
      <c r="V21" s="379"/>
      <c r="W21" s="379"/>
      <c r="X21" s="379"/>
      <c r="Y21" s="379"/>
      <c r="Z21" s="381"/>
      <c r="AA21" s="366"/>
    </row>
    <row r="22" spans="1:66" s="401" customFormat="1" x14ac:dyDescent="0.25">
      <c r="A22" s="352" t="s">
        <v>242</v>
      </c>
      <c r="B22" s="393">
        <v>5</v>
      </c>
      <c r="C22" s="394" t="str">
        <f t="shared" ref="C22:Z22" ca="1" si="2">C39</f>
        <v>Ý</v>
      </c>
      <c r="D22" s="395" t="str">
        <f t="shared" ca="1" si="2"/>
        <v>Ý</v>
      </c>
      <c r="E22" s="396" t="str">
        <f t="shared" ca="1" si="2"/>
        <v>Ù</v>
      </c>
      <c r="F22" s="396" t="str">
        <f t="shared" ca="1" si="2"/>
        <v>Ù</v>
      </c>
      <c r="G22" s="396" t="str">
        <f t="shared" ca="1" si="2"/>
        <v>Ù</v>
      </c>
      <c r="H22" s="396" t="str">
        <f t="shared" ca="1" si="2"/>
        <v>Ù</v>
      </c>
      <c r="I22" s="396" t="str">
        <f t="shared" ca="1" si="2"/>
        <v>Ù</v>
      </c>
      <c r="J22" s="397" t="str">
        <f t="shared" ca="1" si="2"/>
        <v>Ù</v>
      </c>
      <c r="K22" s="394" t="str">
        <f t="shared" ca="1" si="2"/>
        <v>Ù</v>
      </c>
      <c r="L22" s="395" t="str">
        <f t="shared" ca="1" si="2"/>
        <v>Ù</v>
      </c>
      <c r="M22" s="396" t="str">
        <f t="shared" ca="1" si="2"/>
        <v>Ù</v>
      </c>
      <c r="N22" s="396" t="str">
        <f t="shared" ca="1" si="2"/>
        <v>Ù</v>
      </c>
      <c r="O22" s="396" t="str">
        <f t="shared" ca="1" si="2"/>
        <v>Ý</v>
      </c>
      <c r="P22" s="396" t="str">
        <f t="shared" ca="1" si="2"/>
        <v>Ý</v>
      </c>
      <c r="Q22" s="396" t="str">
        <f t="shared" ca="1" si="2"/>
        <v>Ý</v>
      </c>
      <c r="R22" s="397" t="str">
        <f t="shared" ca="1" si="2"/>
        <v>Ý</v>
      </c>
      <c r="S22" s="394" t="str">
        <f t="shared" ca="1" si="2"/>
        <v>Ý</v>
      </c>
      <c r="T22" s="395" t="str">
        <f t="shared" ca="1" si="2"/>
        <v>Ý</v>
      </c>
      <c r="U22" s="396" t="str">
        <f t="shared" ca="1" si="2"/>
        <v>Ý</v>
      </c>
      <c r="V22" s="396" t="str">
        <f t="shared" ca="1" si="2"/>
        <v>Ý</v>
      </c>
      <c r="W22" s="396" t="str">
        <f t="shared" ca="1" si="2"/>
        <v>Ý</v>
      </c>
      <c r="X22" s="396" t="str">
        <f t="shared" ca="1" si="2"/>
        <v>Û</v>
      </c>
      <c r="Y22" s="396" t="str">
        <f t="shared" ca="1" si="2"/>
        <v>Ý</v>
      </c>
      <c r="Z22" s="398" t="str">
        <f t="shared" ca="1" si="2"/>
        <v>Ý</v>
      </c>
      <c r="AA22" s="399"/>
      <c r="AB22" s="400"/>
      <c r="AC22" s="400"/>
      <c r="AD22" s="400"/>
      <c r="AE22" s="400"/>
      <c r="AF22" s="400"/>
      <c r="AG22" s="400"/>
      <c r="AH22" s="400"/>
      <c r="AI22" s="400"/>
      <c r="AJ22" s="400"/>
      <c r="AK22" s="400"/>
      <c r="AL22" s="400"/>
      <c r="AM22" s="400"/>
      <c r="AN22" s="400"/>
      <c r="AO22" s="400"/>
      <c r="AP22" s="400"/>
      <c r="AQ22" s="400"/>
      <c r="AR22" s="400"/>
      <c r="AS22" s="400"/>
      <c r="AT22" s="400"/>
      <c r="AU22" s="400"/>
      <c r="AV22" s="400"/>
      <c r="AW22" s="400"/>
      <c r="AX22" s="400"/>
      <c r="AY22" s="400"/>
      <c r="AZ22" s="400"/>
      <c r="BA22" s="400"/>
      <c r="BB22" s="400"/>
      <c r="BC22" s="400"/>
      <c r="BD22" s="400"/>
      <c r="BE22" s="400"/>
      <c r="BF22" s="400"/>
      <c r="BG22" s="400"/>
      <c r="BH22" s="400"/>
      <c r="BI22" s="400"/>
      <c r="BJ22" s="400"/>
      <c r="BK22" s="400"/>
      <c r="BL22" s="400"/>
      <c r="BM22" s="400"/>
      <c r="BN22" s="400"/>
    </row>
    <row r="23" spans="1:66" s="402" customFormat="1" x14ac:dyDescent="0.25">
      <c r="A23" s="402" t="s">
        <v>241</v>
      </c>
      <c r="B23" s="393">
        <v>10</v>
      </c>
      <c r="C23" s="403">
        <f t="shared" ref="C23:Z23" ca="1" si="3">C40</f>
        <v>3</v>
      </c>
      <c r="D23" s="404">
        <f t="shared" ca="1" si="3"/>
        <v>3</v>
      </c>
      <c r="E23" s="404">
        <f t="shared" ca="1" si="3"/>
        <v>3</v>
      </c>
      <c r="F23" s="404">
        <f t="shared" ca="1" si="3"/>
        <v>4</v>
      </c>
      <c r="G23" s="404">
        <f t="shared" ca="1" si="3"/>
        <v>5</v>
      </c>
      <c r="H23" s="404">
        <f t="shared" ca="1" si="3"/>
        <v>5</v>
      </c>
      <c r="I23" s="404">
        <f t="shared" ca="1" si="3"/>
        <v>4</v>
      </c>
      <c r="J23" s="404">
        <f t="shared" ca="1" si="3"/>
        <v>5</v>
      </c>
      <c r="K23" s="403">
        <f t="shared" ca="1" si="3"/>
        <v>4</v>
      </c>
      <c r="L23" s="404">
        <f t="shared" ca="1" si="3"/>
        <v>4</v>
      </c>
      <c r="M23" s="404">
        <f t="shared" ca="1" si="3"/>
        <v>4</v>
      </c>
      <c r="N23" s="404">
        <f t="shared" ca="1" si="3"/>
        <v>3</v>
      </c>
      <c r="O23" s="404">
        <f t="shared" ca="1" si="3"/>
        <v>4</v>
      </c>
      <c r="P23" s="404">
        <f t="shared" ca="1" si="3"/>
        <v>4</v>
      </c>
      <c r="Q23" s="404">
        <f t="shared" ca="1" si="3"/>
        <v>3</v>
      </c>
      <c r="R23" s="404">
        <f t="shared" ca="1" si="3"/>
        <v>2</v>
      </c>
      <c r="S23" s="403">
        <f t="shared" ca="1" si="3"/>
        <v>4</v>
      </c>
      <c r="T23" s="404">
        <f t="shared" ca="1" si="3"/>
        <v>4</v>
      </c>
      <c r="U23" s="404">
        <f t="shared" ca="1" si="3"/>
        <v>4</v>
      </c>
      <c r="V23" s="404">
        <f t="shared" ca="1" si="3"/>
        <v>6</v>
      </c>
      <c r="W23" s="404">
        <f t="shared" ca="1" si="3"/>
        <v>7</v>
      </c>
      <c r="X23" s="404">
        <f t="shared" ca="1" si="3"/>
        <v>8</v>
      </c>
      <c r="Y23" s="404">
        <f t="shared" ca="1" si="3"/>
        <v>6</v>
      </c>
      <c r="Z23" s="405">
        <f t="shared" ca="1" si="3"/>
        <v>6</v>
      </c>
      <c r="AA23" s="406"/>
    </row>
    <row r="24" spans="1:66" s="363" customFormat="1" x14ac:dyDescent="0.25">
      <c r="A24" s="402" t="s">
        <v>243</v>
      </c>
      <c r="B24" s="393">
        <v>15</v>
      </c>
      <c r="C24" s="407" t="s">
        <v>162</v>
      </c>
      <c r="D24" s="408" t="s">
        <v>163</v>
      </c>
      <c r="E24" s="409" t="s">
        <v>164</v>
      </c>
      <c r="F24" s="409" t="s">
        <v>165</v>
      </c>
      <c r="G24" s="409" t="s">
        <v>166</v>
      </c>
      <c r="H24" s="409" t="s">
        <v>167</v>
      </c>
      <c r="I24" s="409" t="s">
        <v>168</v>
      </c>
      <c r="J24" s="410" t="s">
        <v>169</v>
      </c>
      <c r="K24" s="407" t="s">
        <v>162</v>
      </c>
      <c r="L24" s="408" t="s">
        <v>163</v>
      </c>
      <c r="M24" s="409" t="s">
        <v>164</v>
      </c>
      <c r="N24" s="409" t="s">
        <v>165</v>
      </c>
      <c r="O24" s="409" t="s">
        <v>166</v>
      </c>
      <c r="P24" s="409" t="s">
        <v>167</v>
      </c>
      <c r="Q24" s="409" t="s">
        <v>168</v>
      </c>
      <c r="R24" s="410" t="s">
        <v>169</v>
      </c>
      <c r="S24" s="407" t="s">
        <v>162</v>
      </c>
      <c r="T24" s="408" t="s">
        <v>163</v>
      </c>
      <c r="U24" s="409" t="s">
        <v>164</v>
      </c>
      <c r="V24" s="409" t="s">
        <v>165</v>
      </c>
      <c r="W24" s="409" t="s">
        <v>166</v>
      </c>
      <c r="X24" s="409" t="s">
        <v>167</v>
      </c>
      <c r="Y24" s="409" t="s">
        <v>168</v>
      </c>
      <c r="Z24" s="411" t="s">
        <v>169</v>
      </c>
      <c r="AA24" s="412"/>
    </row>
    <row r="25" spans="1:66" s="367" customFormat="1" x14ac:dyDescent="0.25">
      <c r="A25" s="376"/>
      <c r="B25" s="413"/>
    </row>
    <row r="26" spans="1:66" s="367" customFormat="1" x14ac:dyDescent="0.25">
      <c r="A26" s="376"/>
      <c r="B26" s="413"/>
    </row>
    <row r="27" spans="1:66" s="367" customFormat="1" x14ac:dyDescent="0.25">
      <c r="A27" s="376"/>
      <c r="B27" s="413"/>
    </row>
    <row r="28" spans="1:66" s="367" customFormat="1" x14ac:dyDescent="0.25">
      <c r="A28" s="376"/>
      <c r="B28" s="413"/>
    </row>
    <row r="29" spans="1:66" s="367" customFormat="1" outlineLevel="1" x14ac:dyDescent="0.25">
      <c r="A29" s="376"/>
      <c r="B29" s="413"/>
    </row>
    <row r="30" spans="1:66" s="367" customFormat="1" outlineLevel="1" x14ac:dyDescent="0.25">
      <c r="A30" s="376"/>
      <c r="B30" s="413"/>
    </row>
    <row r="31" spans="1:66" s="367" customFormat="1" outlineLevel="1" x14ac:dyDescent="0.25">
      <c r="A31" s="376"/>
      <c r="B31" s="413"/>
    </row>
    <row r="32" spans="1:66" s="367" customFormat="1" outlineLevel="1" x14ac:dyDescent="0.25">
      <c r="A32" s="376"/>
      <c r="B32" s="413"/>
    </row>
    <row r="33" spans="1:26" s="367" customFormat="1" outlineLevel="1" x14ac:dyDescent="0.25">
      <c r="A33" s="376"/>
      <c r="B33" s="413"/>
    </row>
    <row r="34" spans="1:26" s="367" customFormat="1" x14ac:dyDescent="0.25">
      <c r="A34" s="376"/>
      <c r="B34" s="413"/>
      <c r="C34" s="367" t="str">
        <f t="shared" ref="C34:Z34" ca="1" si="4">C37</f>
        <v>ÙÙ</v>
      </c>
      <c r="D34" s="367" t="str">
        <f t="shared" ca="1" si="4"/>
        <v>ÙÙ</v>
      </c>
      <c r="E34" s="367" t="str">
        <f t="shared" ca="1" si="4"/>
        <v>ÙÙ</v>
      </c>
      <c r="F34" s="367" t="str">
        <f t="shared" ca="1" si="4"/>
        <v>ÙÙ</v>
      </c>
      <c r="G34" s="367" t="str">
        <f t="shared" ca="1" si="4"/>
        <v>ÙÙ</v>
      </c>
      <c r="H34" s="367" t="str">
        <f t="shared" ca="1" si="4"/>
        <v>ÙÙ</v>
      </c>
      <c r="I34" s="367" t="str">
        <f t="shared" ca="1" si="4"/>
        <v>ÙÙ</v>
      </c>
      <c r="J34" s="367" t="str">
        <f t="shared" ca="1" si="4"/>
        <v>ÙÙ</v>
      </c>
      <c r="K34" s="367" t="str">
        <f t="shared" ca="1" si="4"/>
        <v>Ù</v>
      </c>
      <c r="L34" s="367" t="str">
        <f t="shared" ca="1" si="4"/>
        <v>Ù</v>
      </c>
      <c r="M34" s="367" t="str">
        <f t="shared" ca="1" si="4"/>
        <v>Ù</v>
      </c>
      <c r="N34" s="367" t="str">
        <f t="shared" ca="1" si="4"/>
        <v>Ö</v>
      </c>
      <c r="O34" s="367" t="str">
        <f t="shared" ca="1" si="4"/>
        <v>Ö</v>
      </c>
      <c r="P34" s="367" t="str">
        <f t="shared" ca="1" si="4"/>
        <v>ÙÙ</v>
      </c>
      <c r="Q34" s="367" t="str">
        <f t="shared" ca="1" si="4"/>
        <v>ÙÙ</v>
      </c>
      <c r="R34" s="367" t="str">
        <f t="shared" ca="1" si="4"/>
        <v>ÙÙ</v>
      </c>
      <c r="S34" s="367" t="str">
        <f t="shared" ca="1" si="4"/>
        <v>Ù</v>
      </c>
      <c r="T34" s="367" t="str">
        <f t="shared" ca="1" si="4"/>
        <v>Ö</v>
      </c>
      <c r="U34" s="367" t="str">
        <f t="shared" ca="1" si="4"/>
        <v>Ù</v>
      </c>
      <c r="V34" s="367" t="str">
        <f t="shared" ca="1" si="4"/>
        <v>ÙÙ</v>
      </c>
      <c r="W34" s="367" t="str">
        <f t="shared" ca="1" si="4"/>
        <v>Ö</v>
      </c>
      <c r="X34" s="367" t="str">
        <f t="shared" ca="1" si="4"/>
        <v>ÙÙ</v>
      </c>
      <c r="Y34" s="367" t="str">
        <f t="shared" ca="1" si="4"/>
        <v>ÙÙ</v>
      </c>
      <c r="Z34" s="367" t="str">
        <f t="shared" ca="1" si="4"/>
        <v>ÙÙ</v>
      </c>
    </row>
    <row r="35" spans="1:26" s="367" customFormat="1" x14ac:dyDescent="0.25">
      <c r="A35" s="376"/>
      <c r="B35" s="413" t="s">
        <v>196</v>
      </c>
      <c r="C35" s="414">
        <v>0</v>
      </c>
      <c r="D35" s="414">
        <v>3</v>
      </c>
      <c r="E35" s="414">
        <v>6</v>
      </c>
      <c r="F35" s="414">
        <v>9</v>
      </c>
      <c r="G35" s="414">
        <v>12</v>
      </c>
      <c r="H35" s="414">
        <v>15</v>
      </c>
      <c r="I35" s="414">
        <v>18</v>
      </c>
      <c r="J35" s="414">
        <v>21</v>
      </c>
      <c r="K35" s="414">
        <v>24</v>
      </c>
    </row>
    <row r="36" spans="1:26" s="367" customFormat="1" x14ac:dyDescent="0.25">
      <c r="A36" s="376"/>
      <c r="B36" s="413" t="s">
        <v>197</v>
      </c>
    </row>
    <row r="37" spans="1:26" ht="15.75" x14ac:dyDescent="0.25">
      <c r="B37" s="413" t="s">
        <v>110</v>
      </c>
      <c r="C37" s="415" t="str">
        <f ca="1">OFFSET('3dien'!$M$68,((COLUMN()-2)*2)-2,0)</f>
        <v>ÙÙ</v>
      </c>
      <c r="D37" s="415" t="str">
        <f ca="1">OFFSET('3dien'!$M$68,((COLUMN()-2)*2)-2,0)</f>
        <v>ÙÙ</v>
      </c>
      <c r="E37" s="415" t="str">
        <f ca="1">OFFSET('3dien'!$M$68,((COLUMN()-2)*2)-2,0)</f>
        <v>ÙÙ</v>
      </c>
      <c r="F37" s="415" t="str">
        <f ca="1">OFFSET('3dien'!$M$68,((COLUMN()-2)*2)-2,0)</f>
        <v>ÙÙ</v>
      </c>
      <c r="G37" s="415" t="str">
        <f ca="1">OFFSET('3dien'!$M$68,((COLUMN()-2)*2)-2,0)</f>
        <v>ÙÙ</v>
      </c>
      <c r="H37" s="415" t="str">
        <f ca="1">OFFSET('3dien'!$M$68,((COLUMN()-2)*2)-2,0)</f>
        <v>ÙÙ</v>
      </c>
      <c r="I37" s="415" t="str">
        <f ca="1">OFFSET('3dien'!$M$68,((COLUMN()-2)*2)-2,0)</f>
        <v>ÙÙ</v>
      </c>
      <c r="J37" s="415" t="str">
        <f ca="1">OFFSET('3dien'!$M$68,((COLUMN()-2)*2)-2,0)</f>
        <v>ÙÙ</v>
      </c>
      <c r="K37" s="415" t="str">
        <f ca="1">OFFSET('3dien'!$M$68,((COLUMN()-2)*2)-2,0)</f>
        <v>Ù</v>
      </c>
      <c r="L37" s="415" t="str">
        <f ca="1">OFFSET('3dien'!$M$68,((COLUMN()-2)*2)-2,0)</f>
        <v>Ù</v>
      </c>
      <c r="M37" s="415" t="str">
        <f ca="1">OFFSET('3dien'!$M$68,((COLUMN()-2)*2)-2,0)</f>
        <v>Ù</v>
      </c>
      <c r="N37" s="415" t="str">
        <f ca="1">OFFSET('3dien'!$M$68,((COLUMN()-2)*2)-2,0)</f>
        <v>Ö</v>
      </c>
      <c r="O37" s="415" t="str">
        <f ca="1">OFFSET('3dien'!$M$68,((COLUMN()-2)*2)-2,0)</f>
        <v>Ö</v>
      </c>
      <c r="P37" s="415" t="str">
        <f ca="1">OFFSET('3dien'!$M$68,((COLUMN()-2)*2)-2,0)</f>
        <v>ÙÙ</v>
      </c>
      <c r="Q37" s="415" t="str">
        <f ca="1">OFFSET('3dien'!$M$68,((COLUMN()-2)*2)-2,0)</f>
        <v>ÙÙ</v>
      </c>
      <c r="R37" s="415" t="str">
        <f ca="1">OFFSET('3dien'!$M$68,((COLUMN()-2)*2)-2,0)</f>
        <v>ÙÙ</v>
      </c>
      <c r="S37" s="415" t="str">
        <f ca="1">OFFSET('3dien'!$M$68,((COLUMN()-2)*2)-2,0)</f>
        <v>Ù</v>
      </c>
      <c r="T37" s="415" t="str">
        <f ca="1">OFFSET('3dien'!$M$68,((COLUMN()-2)*2)-2,0)</f>
        <v>Ö</v>
      </c>
      <c r="U37" s="415" t="str">
        <f ca="1">OFFSET('3dien'!$M$68,((COLUMN()-2)*2)-2,0)</f>
        <v>Ù</v>
      </c>
      <c r="V37" s="415" t="str">
        <f ca="1">OFFSET('3dien'!$M$68,((COLUMN()-2)*2)-2,0)</f>
        <v>ÙÙ</v>
      </c>
      <c r="W37" s="415" t="str">
        <f ca="1">OFFSET('3dien'!$M$68,((COLUMN()-2)*2)-2,0)</f>
        <v>Ö</v>
      </c>
      <c r="X37" s="415" t="str">
        <f ca="1">OFFSET('3dien'!$M$68,((COLUMN()-2)*2)-2,0)</f>
        <v>ÙÙ</v>
      </c>
      <c r="Y37" s="415" t="str">
        <f ca="1">OFFSET('3dien'!$M$68,((COLUMN()-2)*2)-2,0)</f>
        <v>ÙÙ</v>
      </c>
      <c r="Z37" s="415" t="str">
        <f ca="1">OFFSET('3dien'!$M$68,((COLUMN()-2)*2)-2,0)</f>
        <v>ÙÙ</v>
      </c>
    </row>
    <row r="38" spans="1:26" x14ac:dyDescent="0.25">
      <c r="B38" s="413" t="s">
        <v>111</v>
      </c>
      <c r="C38" s="367" t="str">
        <f ca="1">OFFSET('3dien'!$M$68,((COLUMN()-2)*2)-2,1)</f>
        <v xml:space="preserve"> </v>
      </c>
      <c r="D38" s="367" t="str">
        <f ca="1">OFFSET('3dien'!$M$68,((COLUMN()-2)*2)-2,1)</f>
        <v xml:space="preserve"> </v>
      </c>
      <c r="E38" s="367" t="str">
        <f ca="1">OFFSET('3dien'!$M$68,((COLUMN()-2)*2)-2,1)</f>
        <v xml:space="preserve"> </v>
      </c>
      <c r="F38" s="367" t="str">
        <f ca="1">OFFSET('3dien'!$M$68,((COLUMN()-2)*2)-2,1)</f>
        <v xml:space="preserve"> </v>
      </c>
      <c r="G38" s="367" t="str">
        <f ca="1">OFFSET('3dien'!$M$68,((COLUMN()-2)*2)-2,1)</f>
        <v xml:space="preserve"> </v>
      </c>
      <c r="H38" s="367" t="str">
        <f ca="1">OFFSET('3dien'!$M$68,((COLUMN()-2)*2)-2,1)</f>
        <v xml:space="preserve"> </v>
      </c>
      <c r="I38" s="367" t="str">
        <f ca="1">OFFSET('3dien'!$M$68,((COLUMN()-2)*2)-2,1)</f>
        <v xml:space="preserve"> </v>
      </c>
      <c r="J38" s="367" t="str">
        <f ca="1">OFFSET('3dien'!$M$68,((COLUMN()-2)*2)-2,1)</f>
        <v xml:space="preserve"> </v>
      </c>
      <c r="K38" s="367" t="str">
        <f ca="1">OFFSET('3dien'!$M$68,((COLUMN()-2)*2)-2,1)</f>
        <v xml:space="preserve"> </v>
      </c>
      <c r="L38" s="367" t="str">
        <f ca="1">OFFSET('3dien'!$M$68,((COLUMN()-2)*2)-2,1)</f>
        <v xml:space="preserve"> </v>
      </c>
      <c r="M38" s="367" t="str">
        <f ca="1">OFFSET('3dien'!$M$68,((COLUMN()-2)*2)-2,1)</f>
        <v xml:space="preserve"> </v>
      </c>
      <c r="N38" s="367" t="str">
        <f ca="1">OFFSET('3dien'!$M$68,((COLUMN()-2)*2)-2,1)</f>
        <v xml:space="preserve"> </v>
      </c>
      <c r="O38" s="367" t="str">
        <f ca="1">OFFSET('3dien'!$M$68,((COLUMN()-2)*2)-2,1)</f>
        <v xml:space="preserve"> </v>
      </c>
      <c r="P38" s="367" t="str">
        <f ca="1">OFFSET('3dien'!$M$68,((COLUMN()-2)*2)-2,1)</f>
        <v xml:space="preserve"> </v>
      </c>
      <c r="Q38" s="367" t="str">
        <f ca="1">OFFSET('3dien'!$M$68,((COLUMN()-2)*2)-2,1)</f>
        <v xml:space="preserve"> </v>
      </c>
      <c r="R38" s="367" t="str">
        <f ca="1">OFFSET('3dien'!$M$68,((COLUMN()-2)*2)-2,1)</f>
        <v xml:space="preserve"> </v>
      </c>
      <c r="S38" s="367" t="str">
        <f ca="1">OFFSET('3dien'!$M$68,((COLUMN()-2)*2)-2,1)</f>
        <v xml:space="preserve"> </v>
      </c>
      <c r="T38" s="367" t="str">
        <f ca="1">OFFSET('3dien'!$M$68,((COLUMN()-2)*2)-2,1)</f>
        <v xml:space="preserve"> </v>
      </c>
      <c r="U38" s="367" t="str">
        <f ca="1">OFFSET('3dien'!$M$68,((COLUMN()-2)*2)-2,1)</f>
        <v xml:space="preserve"> </v>
      </c>
      <c r="V38" s="367" t="str">
        <f ca="1">OFFSET('3dien'!$M$68,((COLUMN()-2)*2)-2,1)</f>
        <v xml:space="preserve"> </v>
      </c>
      <c r="W38" s="367" t="str">
        <f ca="1">OFFSET('3dien'!$M$68,((COLUMN()-2)*2)-2,1)</f>
        <v xml:space="preserve"> </v>
      </c>
      <c r="X38" s="367" t="str">
        <f ca="1">OFFSET('3dien'!$M$68,((COLUMN()-2)*2)-2,1)</f>
        <v xml:space="preserve"> </v>
      </c>
      <c r="Y38" s="367" t="str">
        <f ca="1">OFFSET('3dien'!$M$68,((COLUMN()-2)*2)-2,1)</f>
        <v>S</v>
      </c>
      <c r="Z38" s="367" t="str">
        <f ca="1">OFFSET('3dien'!$M$68,((COLUMN()-2)*2)-2,1)</f>
        <v>SS</v>
      </c>
    </row>
    <row r="39" spans="1:26" x14ac:dyDescent="0.25">
      <c r="B39" s="413" t="s">
        <v>124</v>
      </c>
      <c r="C39" s="417" t="str">
        <f ca="1">OFFSET('3dien'!$M$67,((COLUMN()-2)*2)-2,2)</f>
        <v>Ý</v>
      </c>
      <c r="D39" s="417" t="str">
        <f ca="1">OFFSET('3dien'!$M$67,((COLUMN()-2)*2)-2,2)</f>
        <v>Ý</v>
      </c>
      <c r="E39" s="417" t="str">
        <f ca="1">OFFSET('3dien'!$M$67,((COLUMN()-2)*2)-2,2)</f>
        <v>Ù</v>
      </c>
      <c r="F39" s="417" t="str">
        <f ca="1">OFFSET('3dien'!$M$67,((COLUMN()-2)*2)-2,2)</f>
        <v>Ù</v>
      </c>
      <c r="G39" s="417" t="str">
        <f ca="1">OFFSET('3dien'!$M$67,((COLUMN()-2)*2)-2,2)</f>
        <v>Ù</v>
      </c>
      <c r="H39" s="417" t="str">
        <f ca="1">OFFSET('3dien'!$M$67,((COLUMN()-2)*2)-2,2)</f>
        <v>Ù</v>
      </c>
      <c r="I39" s="417" t="str">
        <f ca="1">OFFSET('3dien'!$M$67,((COLUMN()-2)*2)-2,2)</f>
        <v>Ù</v>
      </c>
      <c r="J39" s="417" t="str">
        <f ca="1">OFFSET('3dien'!$M$67,((COLUMN()-2)*2)-2,2)</f>
        <v>Ù</v>
      </c>
      <c r="K39" s="417" t="str">
        <f ca="1">OFFSET('3dien'!$M$67,((COLUMN()-2)*2)-2,2)</f>
        <v>Ù</v>
      </c>
      <c r="L39" s="417" t="str">
        <f ca="1">OFFSET('3dien'!$M$67,((COLUMN()-2)*2)-2,2)</f>
        <v>Ù</v>
      </c>
      <c r="M39" s="417" t="str">
        <f ca="1">OFFSET('3dien'!$M$67,((COLUMN()-2)*2)-2,2)</f>
        <v>Ù</v>
      </c>
      <c r="N39" s="417" t="str">
        <f ca="1">OFFSET('3dien'!$M$67,((COLUMN()-2)*2)-2,2)</f>
        <v>Ù</v>
      </c>
      <c r="O39" s="417" t="str">
        <f ca="1">OFFSET('3dien'!$M$67,((COLUMN()-2)*2)-2,2)</f>
        <v>Ý</v>
      </c>
      <c r="P39" s="417" t="str">
        <f ca="1">OFFSET('3dien'!$M$67,((COLUMN()-2)*2)-2,2)</f>
        <v>Ý</v>
      </c>
      <c r="Q39" s="417" t="str">
        <f ca="1">OFFSET('3dien'!$M$67,((COLUMN()-2)*2)-2,2)</f>
        <v>Ý</v>
      </c>
      <c r="R39" s="417" t="str">
        <f ca="1">OFFSET('3dien'!$M$67,((COLUMN()-2)*2)-2,2)</f>
        <v>Ý</v>
      </c>
      <c r="S39" s="417" t="str">
        <f ca="1">OFFSET('3dien'!$M$67,((COLUMN()-2)*2)-2,2)</f>
        <v>Ý</v>
      </c>
      <c r="T39" s="417" t="str">
        <f ca="1">OFFSET('3dien'!$M$67,((COLUMN()-2)*2)-2,2)</f>
        <v>Ý</v>
      </c>
      <c r="U39" s="417" t="str">
        <f ca="1">OFFSET('3dien'!$M$67,((COLUMN()-2)*2)-2,2)</f>
        <v>Ý</v>
      </c>
      <c r="V39" s="417" t="str">
        <f ca="1">OFFSET('3dien'!$M$67,((COLUMN()-2)*2)-2,2)</f>
        <v>Ý</v>
      </c>
      <c r="W39" s="417" t="str">
        <f ca="1">OFFSET('3dien'!$M$67,((COLUMN()-2)*2)-2,2)</f>
        <v>Ý</v>
      </c>
      <c r="X39" s="417" t="str">
        <f ca="1">OFFSET('3dien'!$M$67,((COLUMN()-2)*2)-2,2)</f>
        <v>Û</v>
      </c>
      <c r="Y39" s="417" t="str">
        <f ca="1">OFFSET('3dien'!$M$67,((COLUMN()-2)*2)-2,2)</f>
        <v>Ý</v>
      </c>
      <c r="Z39" s="417" t="str">
        <f ca="1">OFFSET('3dien'!$M$67,((COLUMN()-2)*2)-2,2)</f>
        <v>Ý</v>
      </c>
    </row>
    <row r="40" spans="1:26" x14ac:dyDescent="0.25">
      <c r="A40" s="367"/>
      <c r="B40" s="413" t="s">
        <v>161</v>
      </c>
      <c r="C40" s="367">
        <f ca="1">OFFSET('3dien'!$M$68,((COLUMN()-2)*2)-2,2)</f>
        <v>3</v>
      </c>
      <c r="D40" s="367">
        <f ca="1">OFFSET('3dien'!$M$68,((COLUMN()-2)*2)-2,2)</f>
        <v>3</v>
      </c>
      <c r="E40" s="367">
        <f ca="1">OFFSET('3dien'!$M$68,((COLUMN()-2)*2)-2,2)</f>
        <v>3</v>
      </c>
      <c r="F40" s="367">
        <f ca="1">OFFSET('3dien'!$M$68,((COLUMN()-2)*2)-2,2)</f>
        <v>4</v>
      </c>
      <c r="G40" s="367">
        <f ca="1">OFFSET('3dien'!$M$68,((COLUMN()-2)*2)-2,2)</f>
        <v>5</v>
      </c>
      <c r="H40" s="367">
        <f ca="1">OFFSET('3dien'!$M$68,((COLUMN()-2)*2)-2,2)</f>
        <v>5</v>
      </c>
      <c r="I40" s="367">
        <f ca="1">OFFSET('3dien'!$M$68,((COLUMN()-2)*2)-2,2)</f>
        <v>4</v>
      </c>
      <c r="J40" s="367">
        <f ca="1">OFFSET('3dien'!$M$68,((COLUMN()-2)*2)-2,2)</f>
        <v>5</v>
      </c>
      <c r="K40" s="367">
        <f ca="1">OFFSET('3dien'!$M$68,((COLUMN()-2)*2)-2,2)</f>
        <v>4</v>
      </c>
      <c r="L40" s="367">
        <f ca="1">OFFSET('3dien'!$M$68,((COLUMN()-2)*2)-2,2)</f>
        <v>4</v>
      </c>
      <c r="M40" s="367">
        <f ca="1">OFFSET('3dien'!$M$68,((COLUMN()-2)*2)-2,2)</f>
        <v>4</v>
      </c>
      <c r="N40" s="367">
        <f ca="1">OFFSET('3dien'!$M$68,((COLUMN()-2)*2)-2,2)</f>
        <v>3</v>
      </c>
      <c r="O40" s="367">
        <f ca="1">OFFSET('3dien'!$M$68,((COLUMN()-2)*2)-2,2)</f>
        <v>4</v>
      </c>
      <c r="P40" s="367">
        <f ca="1">OFFSET('3dien'!$M$68,((COLUMN()-2)*2)-2,2)</f>
        <v>4</v>
      </c>
      <c r="Q40" s="367">
        <f ca="1">OFFSET('3dien'!$M$68,((COLUMN()-2)*2)-2,2)</f>
        <v>3</v>
      </c>
      <c r="R40" s="367">
        <f ca="1">OFFSET('3dien'!$M$68,((COLUMN()-2)*2)-2,2)</f>
        <v>2</v>
      </c>
      <c r="S40" s="367">
        <f ca="1">OFFSET('3dien'!$M$68,((COLUMN()-2)*2)-2,2)</f>
        <v>4</v>
      </c>
      <c r="T40" s="367">
        <f ca="1">OFFSET('3dien'!$M$68,((COLUMN()-2)*2)-2,2)</f>
        <v>4</v>
      </c>
      <c r="U40" s="367">
        <f ca="1">OFFSET('3dien'!$M$68,((COLUMN()-2)*2)-2,2)</f>
        <v>4</v>
      </c>
      <c r="V40" s="367">
        <f ca="1">OFFSET('3dien'!$M$68,((COLUMN()-2)*2)-2,2)</f>
        <v>6</v>
      </c>
      <c r="W40" s="367">
        <f ca="1">OFFSET('3dien'!$M$68,((COLUMN()-2)*2)-2,2)</f>
        <v>7</v>
      </c>
      <c r="X40" s="367">
        <f ca="1">OFFSET('3dien'!$M$68,((COLUMN()-2)*2)-2,2)</f>
        <v>8</v>
      </c>
      <c r="Y40" s="367">
        <f ca="1">OFFSET('3dien'!$M$68,((COLUMN()-2)*2)-2,2)</f>
        <v>6</v>
      </c>
      <c r="Z40" s="367">
        <f ca="1">OFFSET('3dien'!$M$68,((COLUMN()-2)*2)-2,2)</f>
        <v>6</v>
      </c>
    </row>
    <row r="41" spans="1:26" x14ac:dyDescent="0.25">
      <c r="B41" s="413" t="s">
        <v>105</v>
      </c>
      <c r="C41" s="367">
        <f ca="1">OFFSET('3dien'!$M$68,((COLUMN()-2)*2)-2,3)</f>
        <v>1</v>
      </c>
      <c r="D41" s="367">
        <f ca="1">OFFSET('3dien'!$M$68,((COLUMN()-2)*2)-2,3)</f>
        <v>2</v>
      </c>
      <c r="E41" s="367">
        <f ca="1">OFFSET('3dien'!$M$68,((COLUMN()-2)*2)-2,3)</f>
        <v>2</v>
      </c>
      <c r="F41" s="367">
        <f ca="1">OFFSET('3dien'!$M$68,((COLUMN()-2)*2)-2,3)</f>
        <v>4</v>
      </c>
      <c r="G41" s="367">
        <f ca="1">OFFSET('3dien'!$M$68,((COLUMN()-2)*2)-2,3)</f>
        <v>5</v>
      </c>
      <c r="H41" s="367">
        <f ca="1">OFFSET('3dien'!$M$68,((COLUMN()-2)*2)-2,3)</f>
        <v>6</v>
      </c>
      <c r="I41" s="367">
        <f ca="1">OFFSET('3dien'!$M$68,((COLUMN()-2)*2)-2,3)</f>
        <v>6</v>
      </c>
      <c r="J41" s="367">
        <f ca="1">OFFSET('3dien'!$M$68,((COLUMN()-2)*2)-2,3)</f>
        <v>5</v>
      </c>
      <c r="K41" s="367">
        <f ca="1">OFFSET('3dien'!$M$68,((COLUMN()-2)*2)-2,3)</f>
        <v>4</v>
      </c>
      <c r="L41" s="367">
        <f ca="1">OFFSET('3dien'!$M$68,((COLUMN()-2)*2)-2,3)</f>
        <v>3</v>
      </c>
      <c r="M41" s="367">
        <f ca="1">OFFSET('3dien'!$M$68,((COLUMN()-2)*2)-2,3)</f>
        <v>2</v>
      </c>
      <c r="N41" s="367">
        <f ca="1">OFFSET('3dien'!$M$68,((COLUMN()-2)*2)-2,3)</f>
        <v>1</v>
      </c>
      <c r="O41" s="367">
        <f ca="1">OFFSET('3dien'!$M$68,((COLUMN()-2)*2)-2,3)</f>
        <v>4</v>
      </c>
      <c r="P41" s="367">
        <f ca="1">OFFSET('3dien'!$M$68,((COLUMN()-2)*2)-2,3)</f>
        <v>5</v>
      </c>
      <c r="Q41" s="367">
        <f ca="1">OFFSET('3dien'!$M$68,((COLUMN()-2)*2)-2,3)</f>
        <v>4</v>
      </c>
      <c r="R41" s="367">
        <f ca="1">OFFSET('3dien'!$M$68,((COLUMN()-2)*2)-2,3)</f>
        <v>3</v>
      </c>
      <c r="S41" s="367">
        <f ca="1">OFFSET('3dien'!$M$68,((COLUMN()-2)*2)-2,3)</f>
        <v>3</v>
      </c>
      <c r="T41" s="367">
        <f ca="1">OFFSET('3dien'!$M$68,((COLUMN()-2)*2)-2,3)</f>
        <v>2</v>
      </c>
      <c r="U41" s="367">
        <f ca="1">OFFSET('3dien'!$M$68,((COLUMN()-2)*2)-2,3)</f>
        <v>2</v>
      </c>
      <c r="V41" s="367">
        <f ca="1">OFFSET('3dien'!$M$68,((COLUMN()-2)*2)-2,3)</f>
        <v>2</v>
      </c>
      <c r="W41" s="367">
        <f ca="1">OFFSET('3dien'!$M$68,((COLUMN()-2)*2)-2,3)</f>
        <v>4</v>
      </c>
      <c r="X41" s="367">
        <f ca="1">OFFSET('3dien'!$M$68,((COLUMN()-2)*2)-2,3)</f>
        <v>5</v>
      </c>
      <c r="Y41" s="367">
        <f ca="1">OFFSET('3dien'!$M$68,((COLUMN()-2)*2)-2,3)</f>
        <v>4</v>
      </c>
      <c r="Z41" s="367">
        <f ca="1">OFFSET('3dien'!$M$68,((COLUMN()-2)*2)-2,3)</f>
        <v>3</v>
      </c>
    </row>
    <row r="42" spans="1:26" s="367" customFormat="1" x14ac:dyDescent="0.25">
      <c r="A42" s="376"/>
      <c r="B42" s="413"/>
    </row>
    <row r="43" spans="1:26" s="367" customFormat="1" x14ac:dyDescent="0.25">
      <c r="A43" s="418"/>
      <c r="B43" s="419" t="s">
        <v>274</v>
      </c>
      <c r="C43" s="420">
        <f ca="1">AVERAGE(C41:J41)</f>
        <v>3.875</v>
      </c>
      <c r="D43" s="420">
        <f ca="1">AVERAGE(K41:R41)</f>
        <v>3.25</v>
      </c>
      <c r="E43" s="420">
        <f ca="1">AVERAGE(S41:Z41)</f>
        <v>3.125</v>
      </c>
    </row>
    <row r="44" spans="1:26" s="367" customFormat="1" ht="15.75" x14ac:dyDescent="0.25">
      <c r="A44" s="376" t="s">
        <v>236</v>
      </c>
      <c r="B44" s="413"/>
      <c r="C44" s="421" t="s">
        <v>148</v>
      </c>
      <c r="D44" s="421" t="s">
        <v>148</v>
      </c>
      <c r="E44" s="421" t="s">
        <v>150</v>
      </c>
      <c r="F44" s="421" t="s">
        <v>155</v>
      </c>
      <c r="G44" s="421" t="s">
        <v>137</v>
      </c>
      <c r="H44" s="421" t="s">
        <v>137</v>
      </c>
      <c r="I44" s="421" t="s">
        <v>155</v>
      </c>
      <c r="J44" s="421" t="s">
        <v>150</v>
      </c>
      <c r="K44" s="421" t="s">
        <v>149</v>
      </c>
      <c r="L44" s="421" t="s">
        <v>148</v>
      </c>
      <c r="M44" s="421" t="s">
        <v>150</v>
      </c>
      <c r="N44" s="421" t="s">
        <v>150</v>
      </c>
      <c r="O44" s="421" t="s">
        <v>148</v>
      </c>
      <c r="P44" s="421" t="s">
        <v>148</v>
      </c>
      <c r="Q44" s="421" t="s">
        <v>148</v>
      </c>
      <c r="R44" s="421" t="s">
        <v>148</v>
      </c>
      <c r="S44" s="421" t="s">
        <v>148</v>
      </c>
      <c r="T44" s="421" t="s">
        <v>138</v>
      </c>
      <c r="U44" s="421" t="s">
        <v>223</v>
      </c>
      <c r="V44" s="421" t="s">
        <v>150</v>
      </c>
      <c r="W44" s="421" t="s">
        <v>150</v>
      </c>
      <c r="X44" s="421" t="s">
        <v>137</v>
      </c>
      <c r="Y44" s="421" t="s">
        <v>148</v>
      </c>
      <c r="Z44" s="422" t="s">
        <v>148</v>
      </c>
    </row>
    <row r="45" spans="1:26" s="367" customFormat="1" x14ac:dyDescent="0.25">
      <c r="A45" s="376" t="s">
        <v>237</v>
      </c>
      <c r="B45" s="413"/>
      <c r="C45" s="414" t="s">
        <v>142</v>
      </c>
      <c r="D45" s="414" t="s">
        <v>142</v>
      </c>
      <c r="E45" s="414" t="s">
        <v>142</v>
      </c>
      <c r="F45" s="414" t="s">
        <v>143</v>
      </c>
      <c r="G45" s="414" t="s">
        <v>144</v>
      </c>
      <c r="H45" s="414" t="s">
        <v>144</v>
      </c>
      <c r="I45" s="414" t="s">
        <v>143</v>
      </c>
      <c r="J45" s="414" t="s">
        <v>142</v>
      </c>
      <c r="K45" s="414" t="s">
        <v>142</v>
      </c>
      <c r="L45" s="414" t="s">
        <v>142</v>
      </c>
      <c r="M45" s="414" t="s">
        <v>142</v>
      </c>
      <c r="N45" s="414" t="s">
        <v>142</v>
      </c>
      <c r="O45" s="414" t="s">
        <v>142</v>
      </c>
      <c r="P45" s="414" t="s">
        <v>142</v>
      </c>
      <c r="Q45" s="414" t="s">
        <v>142</v>
      </c>
      <c r="R45" s="414" t="s">
        <v>142</v>
      </c>
      <c r="S45" s="414" t="s">
        <v>142</v>
      </c>
      <c r="T45" s="414" t="s">
        <v>229</v>
      </c>
      <c r="U45" s="414" t="s">
        <v>230</v>
      </c>
      <c r="V45" s="414" t="s">
        <v>142</v>
      </c>
      <c r="W45" s="414" t="s">
        <v>144</v>
      </c>
      <c r="X45" s="414" t="s">
        <v>142</v>
      </c>
      <c r="Y45" s="414" t="s">
        <v>142</v>
      </c>
      <c r="Z45" s="423" t="s">
        <v>142</v>
      </c>
    </row>
    <row r="46" spans="1:26" s="367" customFormat="1" x14ac:dyDescent="0.25">
      <c r="A46" s="376"/>
      <c r="B46" s="413"/>
      <c r="C46" s="424" t="s">
        <v>136</v>
      </c>
      <c r="D46" s="424" t="s">
        <v>136</v>
      </c>
      <c r="E46" s="424" t="s">
        <v>136</v>
      </c>
      <c r="F46" s="424" t="s">
        <v>136</v>
      </c>
      <c r="G46" s="424" t="s">
        <v>141</v>
      </c>
      <c r="H46" s="424" t="s">
        <v>141</v>
      </c>
      <c r="I46" s="424" t="s">
        <v>141</v>
      </c>
      <c r="J46" s="424" t="s">
        <v>141</v>
      </c>
      <c r="K46" s="424" t="s">
        <v>141</v>
      </c>
      <c r="L46" s="424" t="s">
        <v>140</v>
      </c>
      <c r="M46" s="424" t="s">
        <v>140</v>
      </c>
      <c r="N46" s="424" t="s">
        <v>140</v>
      </c>
      <c r="O46" s="424" t="s">
        <v>141</v>
      </c>
      <c r="P46" s="424" t="s">
        <v>141</v>
      </c>
      <c r="Q46" s="424" t="s">
        <v>141</v>
      </c>
      <c r="R46" s="424" t="s">
        <v>136</v>
      </c>
      <c r="S46" s="424" t="s">
        <v>134</v>
      </c>
      <c r="T46" s="424" t="s">
        <v>136</v>
      </c>
      <c r="U46" s="424" t="s">
        <v>136</v>
      </c>
      <c r="V46" s="424" t="s">
        <v>141</v>
      </c>
      <c r="W46" s="424" t="s">
        <v>141</v>
      </c>
      <c r="X46" s="424" t="s">
        <v>141</v>
      </c>
      <c r="Y46" s="424" t="s">
        <v>141</v>
      </c>
      <c r="Z46" s="425" t="s">
        <v>141</v>
      </c>
    </row>
    <row r="47" spans="1:26" s="367" customFormat="1" x14ac:dyDescent="0.25">
      <c r="A47" s="376"/>
      <c r="B47" s="413"/>
      <c r="C47" s="414">
        <v>1</v>
      </c>
      <c r="D47" s="414">
        <v>4</v>
      </c>
      <c r="E47" s="414">
        <v>5</v>
      </c>
      <c r="F47" s="414">
        <v>6</v>
      </c>
      <c r="G47" s="414">
        <v>7</v>
      </c>
      <c r="H47" s="414">
        <v>7</v>
      </c>
      <c r="I47" s="414">
        <v>6</v>
      </c>
      <c r="J47" s="414">
        <v>4</v>
      </c>
      <c r="K47" s="414">
        <v>4</v>
      </c>
      <c r="L47" s="414">
        <v>3</v>
      </c>
      <c r="M47" s="414">
        <v>2</v>
      </c>
      <c r="N47" s="414">
        <v>1</v>
      </c>
      <c r="O47" s="414">
        <v>2</v>
      </c>
      <c r="P47" s="414">
        <v>2</v>
      </c>
      <c r="Q47" s="414">
        <v>2</v>
      </c>
      <c r="R47" s="414">
        <v>2</v>
      </c>
      <c r="S47" s="414">
        <v>3</v>
      </c>
      <c r="T47" s="414">
        <v>4</v>
      </c>
      <c r="U47" s="414">
        <v>5</v>
      </c>
      <c r="V47" s="414">
        <v>6</v>
      </c>
      <c r="W47" s="414">
        <v>8</v>
      </c>
      <c r="X47" s="414">
        <v>9</v>
      </c>
      <c r="Y47" s="414">
        <v>8</v>
      </c>
      <c r="Z47" s="423">
        <v>8</v>
      </c>
    </row>
    <row r="48" spans="1:26" s="367" customFormat="1" x14ac:dyDescent="0.25">
      <c r="A48" s="376"/>
      <c r="B48" s="413"/>
      <c r="C48" s="414">
        <v>16</v>
      </c>
      <c r="D48" s="414">
        <v>18</v>
      </c>
      <c r="E48" s="414">
        <v>18</v>
      </c>
      <c r="F48" s="414">
        <v>19</v>
      </c>
      <c r="G48" s="414">
        <v>22</v>
      </c>
      <c r="H48" s="414">
        <v>22</v>
      </c>
      <c r="I48" s="414">
        <v>20</v>
      </c>
      <c r="J48" s="414">
        <v>18</v>
      </c>
      <c r="K48" s="414">
        <v>16</v>
      </c>
      <c r="L48" s="414">
        <v>13</v>
      </c>
      <c r="M48" s="414">
        <v>12</v>
      </c>
      <c r="N48" s="414">
        <v>16</v>
      </c>
      <c r="O48" s="414">
        <v>19</v>
      </c>
      <c r="P48" s="414">
        <v>22</v>
      </c>
      <c r="Q48" s="414">
        <v>22</v>
      </c>
      <c r="R48" s="414">
        <v>18</v>
      </c>
      <c r="S48" s="414">
        <v>17</v>
      </c>
      <c r="T48" s="414">
        <v>17</v>
      </c>
      <c r="U48" s="414">
        <v>19</v>
      </c>
      <c r="V48" s="414">
        <v>19</v>
      </c>
      <c r="W48" s="414">
        <v>20</v>
      </c>
      <c r="X48" s="414">
        <v>19</v>
      </c>
      <c r="Y48" s="414">
        <v>18</v>
      </c>
      <c r="Z48" s="423">
        <v>16</v>
      </c>
    </row>
    <row r="49" spans="1:5" s="367" customFormat="1" x14ac:dyDescent="0.25">
      <c r="A49" s="376"/>
      <c r="B49" s="413"/>
    </row>
    <row r="50" spans="1:5" s="367" customFormat="1" x14ac:dyDescent="0.25">
      <c r="A50" s="376"/>
      <c r="B50" s="413"/>
    </row>
    <row r="51" spans="1:5" s="367" customFormat="1" x14ac:dyDescent="0.25">
      <c r="A51" s="376"/>
      <c r="B51" s="413"/>
    </row>
    <row r="52" spans="1:5" s="367" customFormat="1" x14ac:dyDescent="0.25">
      <c r="A52" s="376"/>
      <c r="B52" s="413"/>
    </row>
    <row r="53" spans="1:5" s="367" customFormat="1" x14ac:dyDescent="0.25">
      <c r="A53" s="376"/>
      <c r="B53" s="413"/>
    </row>
    <row r="54" spans="1:5" s="367" customFormat="1" ht="23.25" x14ac:dyDescent="0.25">
      <c r="A54" s="376"/>
      <c r="B54" s="426" t="s">
        <v>189</v>
      </c>
      <c r="C54" s="427"/>
      <c r="D54" s="431" t="s">
        <v>198</v>
      </c>
      <c r="E54" s="431"/>
    </row>
    <row r="55" spans="1:5" s="367" customFormat="1" x14ac:dyDescent="0.25">
      <c r="A55" s="376"/>
      <c r="B55" s="428" t="s">
        <v>34</v>
      </c>
      <c r="C55" s="429" t="s">
        <v>182</v>
      </c>
      <c r="D55" s="428" t="s">
        <v>31</v>
      </c>
      <c r="E55" s="429" t="s">
        <v>188</v>
      </c>
    </row>
    <row r="56" spans="1:5" s="367" customFormat="1" x14ac:dyDescent="0.25">
      <c r="A56" s="376"/>
      <c r="B56" s="428" t="s">
        <v>37</v>
      </c>
      <c r="C56" s="429" t="s">
        <v>183</v>
      </c>
      <c r="D56" s="428" t="s">
        <v>34</v>
      </c>
      <c r="E56" s="429" t="s">
        <v>182</v>
      </c>
    </row>
    <row r="57" spans="1:5" s="367" customFormat="1" x14ac:dyDescent="0.25">
      <c r="A57" s="376"/>
      <c r="B57" s="428" t="s">
        <v>40</v>
      </c>
      <c r="C57" s="429" t="s">
        <v>184</v>
      </c>
      <c r="D57" s="428" t="s">
        <v>37</v>
      </c>
      <c r="E57" s="429" t="s">
        <v>183</v>
      </c>
    </row>
    <row r="58" spans="1:5" s="367" customFormat="1" x14ac:dyDescent="0.25">
      <c r="A58" s="376"/>
      <c r="B58" s="428" t="s">
        <v>42</v>
      </c>
      <c r="C58" s="429" t="s">
        <v>185</v>
      </c>
      <c r="D58" s="428" t="s">
        <v>40</v>
      </c>
      <c r="E58" s="429" t="s">
        <v>184</v>
      </c>
    </row>
    <row r="59" spans="1:5" s="367" customFormat="1" x14ac:dyDescent="0.25">
      <c r="A59" s="376"/>
      <c r="B59" s="428" t="s">
        <v>46</v>
      </c>
      <c r="C59" s="429" t="s">
        <v>186</v>
      </c>
      <c r="D59" s="428" t="s">
        <v>42</v>
      </c>
      <c r="E59" s="429" t="s">
        <v>185</v>
      </c>
    </row>
    <row r="60" spans="1:5" s="367" customFormat="1" x14ac:dyDescent="0.25">
      <c r="A60" s="376"/>
      <c r="B60" s="428" t="s">
        <v>23</v>
      </c>
      <c r="C60" s="429" t="s">
        <v>187</v>
      </c>
      <c r="D60" s="428" t="s">
        <v>46</v>
      </c>
      <c r="E60" s="429" t="s">
        <v>186</v>
      </c>
    </row>
    <row r="61" spans="1:5" s="367" customFormat="1" x14ac:dyDescent="0.25">
      <c r="A61" s="376"/>
      <c r="B61" s="428" t="s">
        <v>31</v>
      </c>
      <c r="C61" s="429" t="s">
        <v>188</v>
      </c>
      <c r="D61" s="428" t="s">
        <v>23</v>
      </c>
      <c r="E61" s="429" t="s">
        <v>187</v>
      </c>
    </row>
    <row r="62" spans="1:5" s="367" customFormat="1" x14ac:dyDescent="0.25">
      <c r="A62" s="376"/>
      <c r="B62" s="413"/>
    </row>
    <row r="63" spans="1:5" s="367" customFormat="1" x14ac:dyDescent="0.25">
      <c r="A63" s="376"/>
      <c r="B63" s="413"/>
    </row>
    <row r="64" spans="1:5" s="367" customFormat="1" x14ac:dyDescent="0.25">
      <c r="A64" s="376"/>
      <c r="B64" s="413"/>
    </row>
    <row r="65" spans="1:2" s="367" customFormat="1" x14ac:dyDescent="0.25">
      <c r="A65" s="376"/>
      <c r="B65" s="413"/>
    </row>
    <row r="66" spans="1:2" s="367" customFormat="1" x14ac:dyDescent="0.25">
      <c r="A66" s="376"/>
      <c r="B66" s="413"/>
    </row>
    <row r="67" spans="1:2" s="367" customFormat="1" x14ac:dyDescent="0.25">
      <c r="A67" s="376"/>
      <c r="B67" s="413"/>
    </row>
    <row r="68" spans="1:2" s="367" customFormat="1" x14ac:dyDescent="0.25">
      <c r="A68" s="376"/>
      <c r="B68" s="413"/>
    </row>
    <row r="69" spans="1:2" s="367" customFormat="1" x14ac:dyDescent="0.25">
      <c r="A69" s="376"/>
      <c r="B69" s="413"/>
    </row>
    <row r="70" spans="1:2" s="367" customFormat="1" x14ac:dyDescent="0.25">
      <c r="A70" s="376"/>
      <c r="B70" s="413"/>
    </row>
    <row r="71" spans="1:2" s="367" customFormat="1" x14ac:dyDescent="0.25">
      <c r="A71" s="376"/>
      <c r="B71" s="413"/>
    </row>
    <row r="72" spans="1:2" s="367" customFormat="1" x14ac:dyDescent="0.25">
      <c r="A72" s="376"/>
      <c r="B72" s="413"/>
    </row>
    <row r="73" spans="1:2" s="367" customFormat="1" x14ac:dyDescent="0.25">
      <c r="A73" s="376"/>
      <c r="B73" s="413"/>
    </row>
    <row r="74" spans="1:2" s="367" customFormat="1" x14ac:dyDescent="0.25">
      <c r="A74" s="376"/>
      <c r="B74" s="413"/>
    </row>
  </sheetData>
  <sheetProtection formatCells="0" formatColumns="0" formatRows="0" insertColumns="0" insertRows="0" insertHyperlinks="0" deleteColumns="0" deleteRows="0" sort="0" autoFilter="0" pivotTables="0"/>
  <mergeCells count="14">
    <mergeCell ref="N10:P10"/>
    <mergeCell ref="V10:X10"/>
    <mergeCell ref="K4:M4"/>
    <mergeCell ref="S4:U4"/>
    <mergeCell ref="W4:Z4"/>
    <mergeCell ref="O4:R4"/>
    <mergeCell ref="A1:B1"/>
    <mergeCell ref="D54:E54"/>
    <mergeCell ref="H4:J4"/>
    <mergeCell ref="A2:B2"/>
    <mergeCell ref="A3:B3"/>
    <mergeCell ref="C4:E4"/>
    <mergeCell ref="F10:H10"/>
    <mergeCell ref="E1:H1"/>
  </mergeCells>
  <conditionalFormatting sqref="C23:Z23">
    <cfRule type="dataBar" priority="10">
      <dataBar>
        <cfvo type="num" val="0"/>
        <cfvo type="num" val="20"/>
        <color rgb="FFFF0000"/>
      </dataBar>
      <extLst>
        <ext xmlns:x14="http://schemas.microsoft.com/office/spreadsheetml/2009/9/main" uri="{B025F937-C7B1-47D3-B67F-A62EFF666E3E}">
          <x14:id>{999407D5-4273-4D52-86E9-9AA1DFB23B3D}</x14:id>
        </ext>
      </extLst>
    </cfRule>
  </conditionalFormatting>
  <conditionalFormatting sqref="C9:Z9">
    <cfRule type="containsText" dxfId="32" priority="9" operator="containsText" text="h">
      <formula>NOT(ISERROR(SEARCH("h",C9)))</formula>
    </cfRule>
  </conditionalFormatting>
  <conditionalFormatting sqref="C8:Z8">
    <cfRule type="cellIs" dxfId="31" priority="4" operator="equal">
      <formula>"à"</formula>
    </cfRule>
    <cfRule type="cellIs" dxfId="30" priority="174" operator="equal">
      <formula>"Ö"</formula>
    </cfRule>
    <cfRule type="cellIs" dxfId="29" priority="175" operator="equal">
      <formula>"Õ"</formula>
    </cfRule>
    <cfRule type="containsText" dxfId="28" priority="182" operator="containsText" text="o">
      <formula>NOT(ISERROR(SEARCH("o",C8)))</formula>
    </cfRule>
  </conditionalFormatting>
  <conditionalFormatting sqref="B21:B24">
    <cfRule type="dataBar" priority="5">
      <dataBar>
        <cfvo type="num" val="0"/>
        <cfvo type="num" val="20"/>
        <color rgb="FFFF0000"/>
      </dataBar>
      <extLst>
        <ext xmlns:x14="http://schemas.microsoft.com/office/spreadsheetml/2009/9/main" uri="{B025F937-C7B1-47D3-B67F-A62EFF666E3E}">
          <x14:id>{46211181-02BB-4ED4-B056-BAF83FC35331}</x14:id>
        </ext>
      </extLst>
    </cfRule>
  </conditionalFormatting>
  <conditionalFormatting sqref="C11:Z11">
    <cfRule type="expression" dxfId="27" priority="184">
      <formula>AND(OFFSET(C11,30,0)&gt;=20,OFFSET(C11,30,0)&lt;=25)</formula>
    </cfRule>
    <cfRule type="expression" dxfId="26" priority="185">
      <formula>AND(OFFSET(C11,30,0)&gt;=26,OFFSET(C11,30,0)&lt;=30)</formula>
    </cfRule>
    <cfRule type="expression" dxfId="25" priority="186">
      <formula>AND(OFFSET(C11,30,0)&gt;=31,OFFSET(C11,30,0)&lt;=35)</formula>
    </cfRule>
    <cfRule type="expression" dxfId="24" priority="187">
      <formula>AND(OFFSET(C11,30,0)&gt;=36,OFFSET(C11,30,0)&lt;=40)</formula>
    </cfRule>
    <cfRule type="expression" dxfId="23" priority="188">
      <formula>OFFSET(C11,30,0)&gt;=41</formula>
    </cfRule>
  </conditionalFormatting>
  <pageMargins left="0.23622047244094491" right="0.23622047244094491" top="1.1811023622047245" bottom="0.74803149606299213" header="0.31496062992125984" footer="0.31496062992125984"/>
  <pageSetup paperSize="9" scale="57" orientation="landscape" blackAndWhite="1"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4" r:id="rId4" name="Button 10">
              <controlPr defaultSize="0" print="0" autoFill="0" autoPict="0" macro="[0]!Atnaujinti">
                <anchor moveWithCells="1" sizeWithCells="1">
                  <from>
                    <xdr:col>12</xdr:col>
                    <xdr:colOff>0</xdr:colOff>
                    <xdr:row>0</xdr:row>
                    <xdr:rowOff>123825</xdr:rowOff>
                  </from>
                  <to>
                    <xdr:col>16</xdr:col>
                    <xdr:colOff>0</xdr:colOff>
                    <xdr:row>2</xdr:row>
                    <xdr:rowOff>28575</xdr:rowOff>
                  </to>
                </anchor>
              </controlPr>
            </control>
          </mc:Choice>
        </mc:AlternateContent>
        <mc:AlternateContent xmlns:mc="http://schemas.openxmlformats.org/markup-compatibility/2006">
          <mc:Choice Requires="x14">
            <control shapeId="1035" r:id="rId5" name="Button 11">
              <controlPr defaultSize="0" print="0" autoFill="0" autoPict="0" macro="[0]!Sutvarkyti">
                <anchor moveWithCells="1" sizeWithCells="1">
                  <from>
                    <xdr:col>0</xdr:col>
                    <xdr:colOff>0</xdr:colOff>
                    <xdr:row>24</xdr:row>
                    <xdr:rowOff>19050</xdr:rowOff>
                  </from>
                  <to>
                    <xdr:col>29</xdr:col>
                    <xdr:colOff>0</xdr:colOff>
                    <xdr:row>27</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999407D5-4273-4D52-86E9-9AA1DFB23B3D}">
            <x14:dataBar minLength="0" maxLength="100" gradient="0">
              <x14:cfvo type="num">
                <xm:f>0</xm:f>
              </x14:cfvo>
              <x14:cfvo type="num">
                <xm:f>20</xm:f>
              </x14:cfvo>
              <x14:negativeFillColor rgb="FFFF0000"/>
              <x14:axisColor rgb="FF000000"/>
            </x14:dataBar>
          </x14:cfRule>
          <xm:sqref>C23:Z23</xm:sqref>
        </x14:conditionalFormatting>
        <x14:conditionalFormatting xmlns:xm="http://schemas.microsoft.com/office/excel/2006/main">
          <x14:cfRule type="dataBar" id="{46211181-02BB-4ED4-B056-BAF83FC35331}">
            <x14:dataBar minLength="0" maxLength="100" gradient="0">
              <x14:cfvo type="num">
                <xm:f>0</xm:f>
              </x14:cfvo>
              <x14:cfvo type="num">
                <xm:f>20</xm:f>
              </x14:cfvo>
              <x14:negativeFillColor rgb="FFFF0000"/>
              <x14:axisColor rgb="FF000000"/>
            </x14:dataBar>
          </x14:cfRule>
          <xm:sqref>B21:B24</xm:sqref>
        </x14:conditionalFormatting>
        <x14:conditionalFormatting xmlns:xm="http://schemas.microsoft.com/office/excel/2006/main">
          <x14:cfRule type="expression" priority="1" id="{930A5D3B-067A-48E6-8A83-3EAFEEF59D2A}">
            <xm:f>AND(OFFSET(C11,30,0)&gt;=Parametrai!$B$5,OFFSET(C11,30,0)&lt;=Parametrai!$C$5)</xm:f>
            <x14:dxf>
              <fill>
                <patternFill>
                  <bgColor theme="0" tint="-0.24994659260841701"/>
                </patternFill>
              </fill>
            </x14:dxf>
          </x14:cfRule>
          <xm:sqref>C11:Z11</xm:sqref>
        </x14:conditionalFormatting>
        <x14:conditionalFormatting xmlns:xm="http://schemas.microsoft.com/office/excel/2006/main">
          <x14:cfRule type="containsText" priority="176" operator="containsText" id="{60A37299-4842-459F-A534-DB23EC0417D6}">
            <xm:f>NOT(ISERROR(SEARCH("Ù",C8)))</xm:f>
            <xm:f>"Ù"</xm:f>
            <x14:dxf>
              <font>
                <color auto="1"/>
              </font>
              <fill>
                <patternFill>
                  <bgColor theme="4" tint="0.59996337778862885"/>
                </patternFill>
              </fill>
            </x14:dxf>
          </x14:cfRule>
          <xm:sqref>C8:Z8</xm:sqref>
        </x14:conditionalFormatting>
        <x14:conditionalFormatting xmlns:xm="http://schemas.microsoft.com/office/excel/2006/main">
          <x14:cfRule type="expression" priority="183" id="{00000000-000E-0000-0000-000001000000}">
            <xm:f>AND(OFFSET(C11,30,0)&gt;=Parametrai!$B$6,OFFSET(C11,30,0)&lt;=Parametrai!$C$6)</xm:f>
            <x14:dxf>
              <fill>
                <patternFill>
                  <bgColor theme="4" tint="0.59996337778862885"/>
                </patternFill>
              </fill>
            </x14:dxf>
          </x14:cfRule>
          <xm:sqref>C11:Z11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Lapas5">
    <pageSetUpPr fitToPage="1"/>
  </sheetPr>
  <dimension ref="A1:BS57"/>
  <sheetViews>
    <sheetView zoomScale="90" zoomScaleNormal="90" zoomScaleSheetLayoutView="85" workbookViewId="0">
      <selection sqref="A1:B1"/>
    </sheetView>
  </sheetViews>
  <sheetFormatPr defaultColWidth="4.42578125" defaultRowHeight="15" outlineLevelRow="1" x14ac:dyDescent="0.25"/>
  <cols>
    <col min="1" max="1" width="15.5703125" style="62" customWidth="1"/>
    <col min="2" max="2" width="5.42578125" style="101" customWidth="1"/>
    <col min="3" max="58" width="4.7109375" style="5" customWidth="1"/>
    <col min="59" max="59" width="4.42578125" style="167"/>
    <col min="60" max="71" width="4.42578125" style="60"/>
    <col min="72" max="16384" width="4.42578125" style="5"/>
  </cols>
  <sheetData>
    <row r="1" spans="1:71" s="64" customFormat="1" ht="27.75" thickTop="1" thickBot="1" x14ac:dyDescent="0.3">
      <c r="A1" s="450" t="str">
        <f ca="1">'3dien'!J52</f>
        <v>Orai Kaune</v>
      </c>
      <c r="B1" s="450"/>
      <c r="C1" s="197"/>
      <c r="D1" s="198" t="s">
        <v>212</v>
      </c>
      <c r="E1" s="199"/>
      <c r="F1" s="200"/>
      <c r="G1" s="447">
        <v>2</v>
      </c>
      <c r="H1" s="447"/>
      <c r="I1" s="447"/>
      <c r="J1" s="447"/>
      <c r="K1" s="447">
        <v>3</v>
      </c>
      <c r="L1" s="447"/>
      <c r="M1" s="447"/>
      <c r="N1" s="447"/>
      <c r="O1" s="447">
        <v>4</v>
      </c>
      <c r="P1" s="447"/>
      <c r="Q1" s="447"/>
      <c r="R1" s="447"/>
      <c r="S1" s="447">
        <v>5</v>
      </c>
      <c r="T1" s="447"/>
      <c r="U1" s="447"/>
      <c r="V1" s="447"/>
      <c r="W1" s="444">
        <v>6</v>
      </c>
      <c r="X1" s="444"/>
      <c r="Y1" s="444"/>
      <c r="Z1" s="444"/>
      <c r="AA1" s="444">
        <v>7</v>
      </c>
      <c r="AB1" s="444"/>
      <c r="AC1" s="444"/>
      <c r="AD1" s="445"/>
      <c r="AE1" s="446">
        <v>1</v>
      </c>
      <c r="AF1" s="447"/>
      <c r="AG1" s="447"/>
      <c r="AH1" s="447"/>
      <c r="AI1" s="447">
        <v>2</v>
      </c>
      <c r="AJ1" s="447"/>
      <c r="AK1" s="447"/>
      <c r="AL1" s="447"/>
      <c r="AM1" s="447">
        <v>3</v>
      </c>
      <c r="AN1" s="447"/>
      <c r="AO1" s="447"/>
      <c r="AP1" s="447"/>
      <c r="AQ1" s="447">
        <v>4</v>
      </c>
      <c r="AR1" s="447"/>
      <c r="AS1" s="447"/>
      <c r="AT1" s="447"/>
      <c r="AU1" s="447">
        <v>5</v>
      </c>
      <c r="AV1" s="447"/>
      <c r="AW1" s="447"/>
      <c r="AX1" s="447"/>
      <c r="AY1" s="444">
        <v>6</v>
      </c>
      <c r="AZ1" s="444"/>
      <c r="BA1" s="444"/>
      <c r="BB1" s="444"/>
      <c r="BC1" s="444">
        <v>7</v>
      </c>
      <c r="BD1" s="444"/>
      <c r="BE1" s="444"/>
      <c r="BF1" s="445"/>
      <c r="BG1" s="166"/>
      <c r="BH1" s="63"/>
      <c r="BI1" s="63"/>
      <c r="BJ1" s="63"/>
      <c r="BK1" s="63"/>
      <c r="BL1" s="63"/>
      <c r="BM1" s="63"/>
      <c r="BN1" s="63"/>
      <c r="BO1" s="63"/>
      <c r="BP1" s="63"/>
      <c r="BQ1" s="63"/>
      <c r="BR1" s="63"/>
      <c r="BS1" s="63"/>
    </row>
    <row r="2" spans="1:71" s="60" customFormat="1" ht="21.75" thickTop="1" x14ac:dyDescent="0.2">
      <c r="A2" s="451" t="str">
        <f ca="1">CONCATENATE("Vakar buvo ",VLOOKUP('3dien'!J53,$B$50:$E$57,4,0))</f>
        <v>Vakar buvo sekmadienis</v>
      </c>
      <c r="B2" s="452"/>
      <c r="C2" s="455" t="s">
        <v>218</v>
      </c>
      <c r="D2" s="455"/>
      <c r="E2" s="455"/>
      <c r="F2" s="455"/>
      <c r="G2" s="456" t="s">
        <v>219</v>
      </c>
      <c r="H2" s="456"/>
      <c r="I2" s="456"/>
      <c r="J2" s="456"/>
      <c r="K2" s="457" t="s">
        <v>220</v>
      </c>
      <c r="L2" s="457"/>
      <c r="M2" s="457"/>
      <c r="N2" s="457"/>
      <c r="BG2" s="167"/>
    </row>
    <row r="3" spans="1:71" s="142" customFormat="1" ht="21.75" customHeight="1" x14ac:dyDescent="0.2">
      <c r="A3" s="453">
        <f ca="1">F4-1</f>
        <v>43030</v>
      </c>
      <c r="B3" s="454"/>
      <c r="C3" s="458" t="str">
        <f ca="1">TEXT(NOW(),"hh:mm")</f>
        <v>06:37</v>
      </c>
      <c r="D3" s="458"/>
      <c r="E3" s="458"/>
      <c r="F3" s="458"/>
      <c r="G3" s="143"/>
      <c r="H3" s="143"/>
      <c r="I3" s="143"/>
      <c r="J3" s="143"/>
      <c r="K3" s="143"/>
      <c r="L3" s="143"/>
      <c r="M3" s="143"/>
      <c r="N3" s="143"/>
      <c r="O3" s="143"/>
      <c r="P3" s="143"/>
      <c r="Q3" s="143"/>
      <c r="R3" s="143"/>
      <c r="S3" s="143"/>
      <c r="T3" s="143"/>
      <c r="U3" s="143"/>
      <c r="V3" s="143"/>
      <c r="W3" s="143"/>
      <c r="X3" s="143"/>
      <c r="Y3" s="143"/>
      <c r="Z3" s="143"/>
      <c r="AA3" s="143"/>
      <c r="AB3" s="143"/>
      <c r="AC3" s="143"/>
      <c r="AD3" s="143"/>
      <c r="AE3" s="143"/>
      <c r="AF3" s="143"/>
      <c r="AG3" s="143"/>
      <c r="AH3" s="143"/>
      <c r="AI3" s="143"/>
      <c r="AJ3" s="143"/>
      <c r="AK3" s="143"/>
      <c r="AL3" s="143"/>
      <c r="AM3" s="143"/>
      <c r="AN3" s="143"/>
      <c r="AO3" s="143"/>
      <c r="AP3" s="143"/>
      <c r="AQ3" s="143"/>
      <c r="AR3" s="143"/>
      <c r="AS3" s="143"/>
      <c r="AT3" s="143"/>
      <c r="AU3" s="143"/>
      <c r="AV3" s="143"/>
      <c r="AW3" s="143"/>
      <c r="AX3" s="143"/>
      <c r="AY3" s="143"/>
      <c r="AZ3" s="143"/>
      <c r="BA3" s="143"/>
      <c r="BB3" s="143"/>
      <c r="BC3" s="143"/>
      <c r="BD3" s="143"/>
      <c r="BE3" s="143"/>
      <c r="BF3" s="143"/>
      <c r="BG3" s="168"/>
    </row>
    <row r="4" spans="1:71" s="106" customFormat="1" ht="21" customHeight="1" x14ac:dyDescent="0.2">
      <c r="C4" s="448" t="str">
        <f ca="1">CONCATENATE("",VLOOKUP(TODAY(),Lentelė2[#All],3,0),"")</f>
        <v>pirmadienis</v>
      </c>
      <c r="D4" s="449"/>
      <c r="E4" s="449"/>
      <c r="F4" s="144">
        <f ca="1">TODAY()</f>
        <v>43031</v>
      </c>
      <c r="G4" s="448" t="str">
        <f ca="1">CONCATENATE("",VLOOKUP(C4,Lentelė2[[Savaitės dienos2]:[Rytoj bus2]],5,0),"")</f>
        <v>antradienis</v>
      </c>
      <c r="H4" s="449"/>
      <c r="I4" s="449"/>
      <c r="J4" s="144">
        <f ca="1">F4+1</f>
        <v>43032</v>
      </c>
      <c r="K4" s="448" t="str">
        <f ca="1">CONCATENATE("",VLOOKUP(G4,Lentelė2[[Savaitės dienos2]:[Rytoj bus2]],5,0),"")</f>
        <v>trečiadienis</v>
      </c>
      <c r="L4" s="449"/>
      <c r="M4" s="449"/>
      <c r="N4" s="144">
        <f t="shared" ref="N4" ca="1" si="0">J4+1</f>
        <v>43033</v>
      </c>
      <c r="O4" s="448" t="str">
        <f ca="1">CONCATENATE("",VLOOKUP(K4,Lentelė2[[Savaitės dienos2]:[Rytoj bus2]],5,0),"")</f>
        <v>ketvirtadienis</v>
      </c>
      <c r="P4" s="449"/>
      <c r="Q4" s="449"/>
      <c r="R4" s="297">
        <f t="shared" ref="R4" ca="1" si="1">N4+1</f>
        <v>43034</v>
      </c>
      <c r="S4" s="448" t="str">
        <f ca="1">CONCATENATE("",VLOOKUP(O4,Lentelė2[[Savaitės dienos2]:[Rytoj bus2]],5,0),"")</f>
        <v>penktadienis</v>
      </c>
      <c r="T4" s="449"/>
      <c r="U4" s="449"/>
      <c r="V4" s="297">
        <f t="shared" ref="V4" ca="1" si="2">R4+1</f>
        <v>43035</v>
      </c>
      <c r="W4" s="448" t="str">
        <f ca="1">CONCATENATE("",VLOOKUP(S4,Lentelė2[[Savaitės dienos2]:[Rytoj bus2]],5,0),"")</f>
        <v>šeštadienis</v>
      </c>
      <c r="X4" s="449"/>
      <c r="Y4" s="449"/>
      <c r="Z4" s="297">
        <f t="shared" ref="Z4" ca="1" si="3">V4+1</f>
        <v>43036</v>
      </c>
      <c r="AA4" s="448" t="str">
        <f ca="1">CONCATENATE("",VLOOKUP(W4,Lentelė2[[Savaitės dienos2]:[Rytoj bus2]],5,0),"")</f>
        <v>sekmadienis</v>
      </c>
      <c r="AB4" s="449"/>
      <c r="AC4" s="449"/>
      <c r="AD4" s="297">
        <f t="shared" ref="AD4" ca="1" si="4">Z4+1</f>
        <v>43037</v>
      </c>
      <c r="AE4" s="448" t="str">
        <f ca="1">CONCATENATE("",VLOOKUP(AA4,Lentelė2[[Savaitės dienos2]:[Rytoj bus2]],5,0),"")</f>
        <v>pirmadienis</v>
      </c>
      <c r="AF4" s="449"/>
      <c r="AG4" s="449"/>
      <c r="AH4" s="297">
        <f t="shared" ref="AH4" ca="1" si="5">AD4+1</f>
        <v>43038</v>
      </c>
      <c r="AI4" s="448" t="str">
        <f ca="1">CONCATENATE("",VLOOKUP(AE4,Lentelė2[[Savaitės dienos2]:[Rytoj bus2]],5,0),"")</f>
        <v>antradienis</v>
      </c>
      <c r="AJ4" s="449"/>
      <c r="AK4" s="449"/>
      <c r="AL4" s="297">
        <f t="shared" ref="AL4" ca="1" si="6">AH4+1</f>
        <v>43039</v>
      </c>
      <c r="AM4" s="448" t="str">
        <f ca="1">CONCATENATE("",VLOOKUP(AI4,Lentelė2[[Savaitės dienos2]:[Rytoj bus2]],5,0),"")</f>
        <v>trečiadienis</v>
      </c>
      <c r="AN4" s="449"/>
      <c r="AO4" s="449"/>
      <c r="AP4" s="297">
        <f t="shared" ref="AP4" ca="1" si="7">AL4+1</f>
        <v>43040</v>
      </c>
      <c r="AQ4" s="448" t="str">
        <f ca="1">CONCATENATE("",VLOOKUP(AM4,Lentelė2[[Savaitės dienos2]:[Rytoj bus2]],5,0),"")</f>
        <v>ketvirtadienis</v>
      </c>
      <c r="AR4" s="449"/>
      <c r="AS4" s="449"/>
      <c r="AT4" s="297">
        <f t="shared" ref="AT4" ca="1" si="8">AP4+1</f>
        <v>43041</v>
      </c>
      <c r="AU4" s="448" t="str">
        <f ca="1">CONCATENATE("",VLOOKUP(AQ4,Lentelė2[[Savaitės dienos2]:[Rytoj bus2]],5,0),"")</f>
        <v>penktadienis</v>
      </c>
      <c r="AV4" s="449"/>
      <c r="AW4" s="449"/>
      <c r="AX4" s="297">
        <f t="shared" ref="AX4" ca="1" si="9">AT4+1</f>
        <v>43042</v>
      </c>
      <c r="AY4" s="448" t="str">
        <f ca="1">CONCATENATE("",VLOOKUP(AU4,Lentelė2[[Savaitės dienos2]:[Rytoj bus2]],5,0),"")</f>
        <v>šeštadienis</v>
      </c>
      <c r="AZ4" s="449"/>
      <c r="BA4" s="449"/>
      <c r="BB4" s="297">
        <f t="shared" ref="BB4" ca="1" si="10">AX4+1</f>
        <v>43043</v>
      </c>
      <c r="BC4" s="448" t="str">
        <f ca="1">CONCATENATE("",VLOOKUP(AY4,Lentelė2[[Savaitės dienos2]:[Rytoj bus2]],5,0),"")</f>
        <v>sekmadienis</v>
      </c>
      <c r="BD4" s="449"/>
      <c r="BE4" s="449"/>
      <c r="BF4" s="297">
        <f t="shared" ref="BF4" ca="1" si="11">BB4+1</f>
        <v>43044</v>
      </c>
      <c r="BG4" s="168"/>
    </row>
    <row r="5" spans="1:71" s="66" customFormat="1" ht="13.5" customHeight="1" x14ac:dyDescent="0.25">
      <c r="A5" s="65"/>
      <c r="B5" s="65"/>
      <c r="C5" s="220" t="s">
        <v>192</v>
      </c>
      <c r="D5" s="257" t="s">
        <v>193</v>
      </c>
      <c r="E5" s="256" t="s">
        <v>194</v>
      </c>
      <c r="F5" s="219" t="s">
        <v>267</v>
      </c>
      <c r="G5" s="113"/>
      <c r="H5" s="113"/>
      <c r="I5" s="113"/>
      <c r="J5" s="113"/>
      <c r="K5" s="113"/>
      <c r="L5" s="113"/>
      <c r="M5" s="113"/>
      <c r="N5" s="113"/>
      <c r="O5" s="113"/>
      <c r="P5" s="113"/>
      <c r="Q5" s="113"/>
      <c r="R5" s="113"/>
      <c r="S5" s="113"/>
      <c r="T5" s="113"/>
      <c r="U5" s="113"/>
      <c r="V5" s="113"/>
      <c r="W5" s="113"/>
      <c r="X5" s="113"/>
      <c r="Y5" s="113"/>
      <c r="Z5" s="113"/>
      <c r="AA5" s="113"/>
      <c r="AB5" s="113"/>
      <c r="AC5" s="113"/>
      <c r="AD5" s="113"/>
      <c r="AE5" s="113"/>
      <c r="AF5" s="113"/>
      <c r="AG5" s="113"/>
      <c r="AH5" s="113"/>
      <c r="AI5" s="113"/>
      <c r="AJ5" s="113"/>
      <c r="AK5" s="113"/>
      <c r="AL5" s="113"/>
      <c r="AM5" s="113"/>
      <c r="AN5" s="113"/>
      <c r="AO5" s="113"/>
      <c r="AP5" s="113"/>
      <c r="AQ5" s="113"/>
      <c r="AR5" s="113"/>
      <c r="AS5" s="113"/>
      <c r="AT5" s="113"/>
      <c r="AU5" s="113"/>
      <c r="AV5" s="113"/>
      <c r="AW5" s="113"/>
      <c r="AX5" s="113"/>
      <c r="AY5" s="113"/>
      <c r="AZ5" s="113"/>
      <c r="BA5" s="113"/>
      <c r="BB5" s="113"/>
      <c r="BC5" s="113"/>
      <c r="BD5" s="113"/>
      <c r="BE5" s="113"/>
      <c r="BF5" s="113"/>
      <c r="BG5" s="169"/>
      <c r="BH5" s="65"/>
      <c r="BI5" s="65"/>
      <c r="BJ5" s="65"/>
      <c r="BK5" s="65"/>
      <c r="BL5" s="65"/>
      <c r="BM5" s="65"/>
      <c r="BN5" s="65"/>
      <c r="BO5" s="65"/>
      <c r="BP5" s="65"/>
      <c r="BQ5" s="65"/>
      <c r="BR5" s="65"/>
      <c r="BS5" s="65"/>
    </row>
    <row r="6" spans="1:71" s="108" customFormat="1" x14ac:dyDescent="0.2">
      <c r="A6" s="107" t="s">
        <v>121</v>
      </c>
      <c r="B6" s="97"/>
      <c r="C6" s="135">
        <v>0</v>
      </c>
      <c r="D6" s="136">
        <v>6</v>
      </c>
      <c r="E6" s="137">
        <v>12</v>
      </c>
      <c r="F6" s="138">
        <v>18</v>
      </c>
      <c r="G6" s="135">
        <v>0</v>
      </c>
      <c r="H6" s="136">
        <v>6</v>
      </c>
      <c r="I6" s="137">
        <v>12</v>
      </c>
      <c r="J6" s="138">
        <v>18</v>
      </c>
      <c r="K6" s="135">
        <v>0</v>
      </c>
      <c r="L6" s="136">
        <v>6</v>
      </c>
      <c r="M6" s="137">
        <v>12</v>
      </c>
      <c r="N6" s="138">
        <v>18</v>
      </c>
      <c r="O6" s="135">
        <v>0</v>
      </c>
      <c r="P6" s="136">
        <v>6</v>
      </c>
      <c r="Q6" s="137">
        <v>12</v>
      </c>
      <c r="R6" s="138">
        <v>18</v>
      </c>
      <c r="S6" s="135">
        <v>0</v>
      </c>
      <c r="T6" s="136">
        <v>6</v>
      </c>
      <c r="U6" s="137">
        <v>12</v>
      </c>
      <c r="V6" s="138">
        <v>18</v>
      </c>
      <c r="W6" s="135">
        <v>0</v>
      </c>
      <c r="X6" s="136">
        <v>6</v>
      </c>
      <c r="Y6" s="137">
        <v>12</v>
      </c>
      <c r="Z6" s="138">
        <v>18</v>
      </c>
      <c r="AA6" s="135">
        <v>0</v>
      </c>
      <c r="AB6" s="136">
        <v>6</v>
      </c>
      <c r="AC6" s="137">
        <v>12</v>
      </c>
      <c r="AD6" s="138">
        <v>18</v>
      </c>
      <c r="AE6" s="135">
        <v>0</v>
      </c>
      <c r="AF6" s="136">
        <v>6</v>
      </c>
      <c r="AG6" s="137">
        <v>12</v>
      </c>
      <c r="AH6" s="138">
        <v>18</v>
      </c>
      <c r="AI6" s="135">
        <v>0</v>
      </c>
      <c r="AJ6" s="136">
        <v>6</v>
      </c>
      <c r="AK6" s="137">
        <v>12</v>
      </c>
      <c r="AL6" s="138">
        <v>18</v>
      </c>
      <c r="AM6" s="135">
        <v>0</v>
      </c>
      <c r="AN6" s="136">
        <v>6</v>
      </c>
      <c r="AO6" s="137">
        <v>12</v>
      </c>
      <c r="AP6" s="138">
        <v>18</v>
      </c>
      <c r="AQ6" s="135">
        <v>0</v>
      </c>
      <c r="AR6" s="136">
        <v>6</v>
      </c>
      <c r="AS6" s="137">
        <v>12</v>
      </c>
      <c r="AT6" s="138">
        <v>18</v>
      </c>
      <c r="AU6" s="135">
        <v>0</v>
      </c>
      <c r="AV6" s="136">
        <v>6</v>
      </c>
      <c r="AW6" s="137">
        <v>12</v>
      </c>
      <c r="AX6" s="138">
        <v>18</v>
      </c>
      <c r="AY6" s="135">
        <v>0</v>
      </c>
      <c r="AZ6" s="136">
        <v>6</v>
      </c>
      <c r="BA6" s="137">
        <v>12</v>
      </c>
      <c r="BB6" s="138">
        <v>18</v>
      </c>
      <c r="BC6" s="135">
        <v>0</v>
      </c>
      <c r="BD6" s="136">
        <v>6</v>
      </c>
      <c r="BE6" s="137">
        <v>12</v>
      </c>
      <c r="BF6" s="138">
        <v>18</v>
      </c>
      <c r="BG6" s="168"/>
      <c r="BH6" s="97"/>
      <c r="BI6" s="97"/>
      <c r="BJ6" s="97"/>
      <c r="BK6" s="97"/>
      <c r="BL6" s="97"/>
      <c r="BM6" s="97"/>
      <c r="BN6" s="97"/>
      <c r="BO6" s="97"/>
      <c r="BP6" s="97"/>
      <c r="BQ6" s="97"/>
      <c r="BR6" s="97"/>
      <c r="BS6" s="97"/>
    </row>
    <row r="7" spans="1:71" s="66" customFormat="1" ht="12.75" x14ac:dyDescent="0.2">
      <c r="A7" s="103"/>
      <c r="B7" s="65"/>
      <c r="C7" s="89"/>
      <c r="D7" s="67"/>
      <c r="E7" s="65"/>
      <c r="F7" s="90"/>
      <c r="G7" s="89"/>
      <c r="H7" s="67"/>
      <c r="I7" s="65"/>
      <c r="J7" s="90"/>
      <c r="K7" s="89"/>
      <c r="L7" s="67"/>
      <c r="M7" s="65"/>
      <c r="N7" s="90"/>
      <c r="O7" s="89"/>
      <c r="P7" s="67"/>
      <c r="Q7" s="65"/>
      <c r="R7" s="90"/>
      <c r="S7" s="89"/>
      <c r="T7" s="67"/>
      <c r="U7" s="65"/>
      <c r="V7" s="90"/>
      <c r="W7" s="89"/>
      <c r="X7" s="67"/>
      <c r="Y7" s="65"/>
      <c r="Z7" s="90"/>
      <c r="AA7" s="89"/>
      <c r="AB7" s="67"/>
      <c r="AC7" s="65"/>
      <c r="AD7" s="90"/>
      <c r="AE7" s="89"/>
      <c r="AF7" s="67"/>
      <c r="AG7" s="65"/>
      <c r="AH7" s="90"/>
      <c r="AI7" s="89"/>
      <c r="AJ7" s="67"/>
      <c r="AK7" s="65"/>
      <c r="AL7" s="90"/>
      <c r="AM7" s="89"/>
      <c r="AN7" s="67"/>
      <c r="AO7" s="65"/>
      <c r="AP7" s="90"/>
      <c r="AQ7" s="89"/>
      <c r="AR7" s="67"/>
      <c r="AS7" s="65"/>
      <c r="AT7" s="90"/>
      <c r="AU7" s="89"/>
      <c r="AV7" s="67"/>
      <c r="AW7" s="65"/>
      <c r="AX7" s="90"/>
      <c r="AY7" s="89"/>
      <c r="AZ7" s="67"/>
      <c r="BA7" s="65"/>
      <c r="BB7" s="90"/>
      <c r="BC7" s="89"/>
      <c r="BD7" s="67"/>
      <c r="BE7" s="65"/>
      <c r="BF7" s="90"/>
      <c r="BG7" s="168"/>
      <c r="BH7" s="65"/>
      <c r="BI7" s="65"/>
      <c r="BJ7" s="65"/>
      <c r="BK7" s="65"/>
      <c r="BL7" s="65"/>
      <c r="BM7" s="65"/>
      <c r="BN7" s="65"/>
      <c r="BO7" s="65"/>
      <c r="BP7" s="65"/>
      <c r="BQ7" s="65"/>
      <c r="BR7" s="65"/>
      <c r="BS7" s="65"/>
    </row>
    <row r="8" spans="1:71" s="126" customFormat="1" ht="48.75" customHeight="1" x14ac:dyDescent="0.25">
      <c r="A8" s="102" t="s">
        <v>110</v>
      </c>
      <c r="B8" s="125"/>
      <c r="C8" s="211" t="str">
        <f ca="1">IF(OR(C37="Õ",C37="Ö"),"à",C37)</f>
        <v>ÙÙ</v>
      </c>
      <c r="D8" s="212" t="str">
        <f ca="1">IF(OR(D37="Õ",D37="Ö"),"à",D37)</f>
        <v>ÙÙ</v>
      </c>
      <c r="E8" s="213" t="str">
        <f ca="1">IF(E37=0,"",E37)</f>
        <v>ÙÙ</v>
      </c>
      <c r="F8" s="214" t="str">
        <f ca="1">IF(OR(F37="Õ",F37="Ö"),"à",F37)</f>
        <v>ÙÙ</v>
      </c>
      <c r="G8" s="211" t="str">
        <f ca="1">IF(OR(G37="Õ",G37="Ö"),"à",G37)</f>
        <v>Ù</v>
      </c>
      <c r="H8" s="212" t="str">
        <f ca="1">IF(OR(H37="Õ",H37="Ö"),"à",H37)</f>
        <v>à</v>
      </c>
      <c r="I8" s="213" t="str">
        <f ca="1">IF(I37=0,"",I37)</f>
        <v>ÙÙ</v>
      </c>
      <c r="J8" s="214" t="str">
        <f ca="1">IF(OR(J37="Õ",J37="Ö"),"à",J37)</f>
        <v>ÙÙ</v>
      </c>
      <c r="K8" s="211" t="str">
        <f t="shared" ref="K8:L8" ca="1" si="12">IF(OR(K37="Õ",K37="Ö"),"à",K37)</f>
        <v>à</v>
      </c>
      <c r="L8" s="212" t="str">
        <f t="shared" ca="1" si="12"/>
        <v>ÙÙ</v>
      </c>
      <c r="M8" s="213" t="str">
        <f t="shared" ref="M8" ca="1" si="13">IF(M37=0,"",M37)</f>
        <v>ÙÙ</v>
      </c>
      <c r="N8" s="214" t="str">
        <f t="shared" ref="N8:P8" ca="1" si="14">IF(OR(N37="Õ",N37="Ö"),"à",N37)</f>
        <v>ÙÙ</v>
      </c>
      <c r="O8" s="211" t="str">
        <f t="shared" ca="1" si="14"/>
        <v>ÙÙ</v>
      </c>
      <c r="P8" s="212" t="str">
        <f t="shared" ca="1" si="14"/>
        <v>ÙÙ</v>
      </c>
      <c r="Q8" s="213" t="str">
        <f t="shared" ref="Q8" ca="1" si="15">IF(Q37=0,"",Q37)</f>
        <v>Ù</v>
      </c>
      <c r="R8" s="214" t="str">
        <f t="shared" ref="R8:T8" ca="1" si="16">IF(OR(R37="Õ",R37="Ö"),"à",R37)</f>
        <v>ÙÙ</v>
      </c>
      <c r="S8" s="211" t="str">
        <f t="shared" ca="1" si="16"/>
        <v>ÙÙ</v>
      </c>
      <c r="T8" s="212" t="str">
        <f t="shared" ca="1" si="16"/>
        <v>ÙÙ</v>
      </c>
      <c r="U8" s="213" t="str">
        <f t="shared" ref="U8" ca="1" si="17">IF(U37=0,"",U37)</f>
        <v>ÙÙ</v>
      </c>
      <c r="V8" s="214" t="str">
        <f t="shared" ref="V8:X8" ca="1" si="18">IF(OR(V37="Õ",V37="Ö"),"à",V37)</f>
        <v>ÙÙ</v>
      </c>
      <c r="W8" s="211" t="str">
        <f t="shared" ca="1" si="18"/>
        <v>ÙÙ</v>
      </c>
      <c r="X8" s="212" t="str">
        <f t="shared" ca="1" si="18"/>
        <v>ÙÙ</v>
      </c>
      <c r="Y8" s="213" t="str">
        <f t="shared" ref="Y8" ca="1" si="19">IF(Y37=0,"",Y37)</f>
        <v>ÙÙ</v>
      </c>
      <c r="Z8" s="214" t="str">
        <f t="shared" ref="Z8:AB8" ca="1" si="20">IF(OR(Z37="Õ",Z37="Ö"),"à",Z37)</f>
        <v>ÙÙ</v>
      </c>
      <c r="AA8" s="211" t="str">
        <f t="shared" ca="1" si="20"/>
        <v>ÙÙ</v>
      </c>
      <c r="AB8" s="212" t="str">
        <f t="shared" ca="1" si="20"/>
        <v>ÙÙ</v>
      </c>
      <c r="AC8" s="213" t="str">
        <f t="shared" ref="AC8" ca="1" si="21">IF(AC37=0,"",AC37)</f>
        <v>ÙÙ</v>
      </c>
      <c r="AD8" s="214" t="str">
        <f t="shared" ref="AD8" ca="1" si="22">IF(OR(AD37="Õ",AD37="Ö"),"à",AD37)</f>
        <v>ÙÙ</v>
      </c>
      <c r="AE8" s="211" t="str">
        <f ca="1">IF(OR(AE37="Õ",AE37="Ö"),"à",AE37)</f>
        <v>ÙÙ</v>
      </c>
      <c r="AF8" s="212" t="str">
        <f ca="1">IF(OR(AF37="Õ",AF37="Ö"),"à",AF37)</f>
        <v>ÙÙ</v>
      </c>
      <c r="AG8" s="213" t="str">
        <f ca="1">IF(AG37=0,"",AG37)</f>
        <v>ÙÙ</v>
      </c>
      <c r="AH8" s="214" t="str">
        <f ca="1">IF(OR(AH37="Õ",AH37="Ö"),"à",AH37)</f>
        <v>ÙÙ</v>
      </c>
      <c r="AI8" s="211" t="str">
        <f t="shared" ref="AI8:AJ8" ca="1" si="23">IF(OR(AI37="Õ",AI37="Ö"),"à",AI37)</f>
        <v>Ù</v>
      </c>
      <c r="AJ8" s="212" t="str">
        <f t="shared" ca="1" si="23"/>
        <v>ÙÙ</v>
      </c>
      <c r="AK8" s="213" t="str">
        <f t="shared" ref="AK8" ca="1" si="24">IF(AK37=0,"",AK37)</f>
        <v>ÙÙ</v>
      </c>
      <c r="AL8" s="214" t="str">
        <f t="shared" ref="AL8:AN8" ca="1" si="25">IF(OR(AL37="Õ",AL37="Ö"),"à",AL37)</f>
        <v>Ù</v>
      </c>
      <c r="AM8" s="211" t="str">
        <f t="shared" ca="1" si="25"/>
        <v>à</v>
      </c>
      <c r="AN8" s="212" t="str">
        <f t="shared" ca="1" si="25"/>
        <v>à</v>
      </c>
      <c r="AO8" s="213" t="str">
        <f t="shared" ref="AO8" ca="1" si="26">IF(AO37=0,"",AO37)</f>
        <v>Ù</v>
      </c>
      <c r="AP8" s="214" t="str">
        <f t="shared" ref="AP8:AR8" ca="1" si="27">IF(OR(AP37="Õ",AP37="Ö"),"à",AP37)</f>
        <v>ÙÙ</v>
      </c>
      <c r="AQ8" s="211" t="str">
        <f t="shared" ca="1" si="27"/>
        <v>Ù</v>
      </c>
      <c r="AR8" s="212" t="str">
        <f t="shared" ca="1" si="27"/>
        <v>à</v>
      </c>
      <c r="AS8" s="213" t="str">
        <f t="shared" ref="AS8" ca="1" si="28">IF(AS37=0,"",AS37)</f>
        <v>Ù</v>
      </c>
      <c r="AT8" s="214" t="str">
        <f t="shared" ref="AT8:AV8" ca="1" si="29">IF(OR(AT37="Õ",AT37="Ö"),"à",AT37)</f>
        <v>Ù</v>
      </c>
      <c r="AU8" s="211" t="str">
        <f t="shared" ca="1" si="29"/>
        <v>ÙÙ</v>
      </c>
      <c r="AV8" s="212" t="str">
        <f t="shared" ca="1" si="29"/>
        <v>ÙÙ</v>
      </c>
      <c r="AW8" s="213" t="str">
        <f t="shared" ref="AW8" ca="1" si="30">IF(AW37=0,"",AW37)</f>
        <v>Õ</v>
      </c>
      <c r="AX8" s="214" t="str">
        <f t="shared" ref="AX8:AZ8" ca="1" si="31">IF(OR(AX37="Õ",AX37="Ö"),"à",AX37)</f>
        <v>à</v>
      </c>
      <c r="AY8" s="211" t="str">
        <f t="shared" ca="1" si="31"/>
        <v>à</v>
      </c>
      <c r="AZ8" s="212" t="str">
        <f t="shared" ca="1" si="31"/>
        <v>ÙÙ</v>
      </c>
      <c r="BA8" s="213" t="str">
        <f t="shared" ref="BA8" ca="1" si="32">IF(BA37=0,"",BA37)</f>
        <v>ÙÙ</v>
      </c>
      <c r="BB8" s="214" t="str">
        <f t="shared" ref="BB8:BD8" ca="1" si="33">IF(OR(BB37="Õ",BB37="Ö"),"à",BB37)</f>
        <v>Ù</v>
      </c>
      <c r="BC8" s="211" t="str">
        <f t="shared" ca="1" si="33"/>
        <v>ÙÙ</v>
      </c>
      <c r="BD8" s="212" t="str">
        <f t="shared" ca="1" si="33"/>
        <v>ÙÙ</v>
      </c>
      <c r="BE8" s="213" t="str">
        <f t="shared" ref="BE8" ca="1" si="34">IF(BE37=0,"",BE37)</f>
        <v>Ù</v>
      </c>
      <c r="BF8" s="214" t="str">
        <f t="shared" ref="BF8" ca="1" si="35">IF(OR(BF37="Õ",BF37="Ö"),"à",BF37)</f>
        <v>ÙÙ</v>
      </c>
      <c r="BG8" s="170"/>
      <c r="BH8" s="125"/>
      <c r="BI8" s="125"/>
      <c r="BJ8" s="125"/>
      <c r="BK8" s="125"/>
      <c r="BL8" s="125"/>
      <c r="BM8" s="125"/>
      <c r="BN8" s="125"/>
      <c r="BO8" s="125"/>
      <c r="BP8" s="125"/>
      <c r="BQ8" s="125"/>
      <c r="BR8" s="125"/>
      <c r="BS8" s="125"/>
    </row>
    <row r="9" spans="1:71" s="126" customFormat="1" ht="48.75" customHeight="1" x14ac:dyDescent="0.25">
      <c r="A9" s="102" t="s">
        <v>111</v>
      </c>
      <c r="B9" s="125"/>
      <c r="C9" s="215" t="str">
        <f t="shared" ref="C9:J9" ca="1" si="36">C38</f>
        <v xml:space="preserve"> </v>
      </c>
      <c r="D9" s="216" t="str">
        <f t="shared" ca="1" si="36"/>
        <v xml:space="preserve"> </v>
      </c>
      <c r="E9" s="217" t="str">
        <f t="shared" ca="1" si="36"/>
        <v xml:space="preserve"> </v>
      </c>
      <c r="F9" s="218" t="str">
        <f t="shared" ca="1" si="36"/>
        <v xml:space="preserve"> </v>
      </c>
      <c r="G9" s="215" t="str">
        <f t="shared" ca="1" si="36"/>
        <v xml:space="preserve"> </v>
      </c>
      <c r="H9" s="216" t="str">
        <f t="shared" ca="1" si="36"/>
        <v xml:space="preserve"> </v>
      </c>
      <c r="I9" s="217" t="str">
        <f t="shared" ca="1" si="36"/>
        <v xml:space="preserve"> </v>
      </c>
      <c r="J9" s="218" t="str">
        <f t="shared" ca="1" si="36"/>
        <v xml:space="preserve"> </v>
      </c>
      <c r="K9" s="215" t="str">
        <f t="shared" ref="K9:AH9" ca="1" si="37">K38</f>
        <v xml:space="preserve"> </v>
      </c>
      <c r="L9" s="216" t="str">
        <f t="shared" ca="1" si="37"/>
        <v xml:space="preserve"> </v>
      </c>
      <c r="M9" s="217" t="str">
        <f t="shared" ca="1" si="37"/>
        <v xml:space="preserve"> </v>
      </c>
      <c r="N9" s="218" t="str">
        <f t="shared" ca="1" si="37"/>
        <v>SS</v>
      </c>
      <c r="O9" s="215" t="str">
        <f t="shared" ca="1" si="37"/>
        <v>SS</v>
      </c>
      <c r="P9" s="216" t="str">
        <f t="shared" ca="1" si="37"/>
        <v>S</v>
      </c>
      <c r="Q9" s="217" t="str">
        <f t="shared" ca="1" si="37"/>
        <v>S</v>
      </c>
      <c r="R9" s="218" t="str">
        <f t="shared" ca="1" si="37"/>
        <v>S</v>
      </c>
      <c r="S9" s="215" t="str">
        <f t="shared" ca="1" si="37"/>
        <v>S</v>
      </c>
      <c r="T9" s="216" t="str">
        <f t="shared" ca="1" si="37"/>
        <v>S</v>
      </c>
      <c r="U9" s="217" t="str">
        <f t="shared" ca="1" si="37"/>
        <v>S</v>
      </c>
      <c r="V9" s="218" t="str">
        <f t="shared" ca="1" si="37"/>
        <v>S</v>
      </c>
      <c r="W9" s="215" t="str">
        <f t="shared" ca="1" si="37"/>
        <v>S</v>
      </c>
      <c r="X9" s="216" t="str">
        <f t="shared" ca="1" si="37"/>
        <v>S</v>
      </c>
      <c r="Y9" s="217" t="str">
        <f t="shared" ca="1" si="37"/>
        <v xml:space="preserve"> </v>
      </c>
      <c r="Z9" s="218" t="str">
        <f t="shared" ca="1" si="37"/>
        <v>S</v>
      </c>
      <c r="AA9" s="215" t="str">
        <f t="shared" ca="1" si="37"/>
        <v>S</v>
      </c>
      <c r="AB9" s="216" t="str">
        <f t="shared" ca="1" si="37"/>
        <v xml:space="preserve"> </v>
      </c>
      <c r="AC9" s="217" t="str">
        <f t="shared" ca="1" si="37"/>
        <v xml:space="preserve"> </v>
      </c>
      <c r="AD9" s="218" t="str">
        <f t="shared" ca="1" si="37"/>
        <v xml:space="preserve"> </v>
      </c>
      <c r="AE9" s="215" t="str">
        <f t="shared" ca="1" si="37"/>
        <v xml:space="preserve"> </v>
      </c>
      <c r="AF9" s="216" t="str">
        <f t="shared" ca="1" si="37"/>
        <v xml:space="preserve"> </v>
      </c>
      <c r="AG9" s="217" t="str">
        <f t="shared" ca="1" si="37"/>
        <v xml:space="preserve"> </v>
      </c>
      <c r="AH9" s="218" t="str">
        <f t="shared" ca="1" si="37"/>
        <v xml:space="preserve"> </v>
      </c>
      <c r="AI9" s="215" t="str">
        <f t="shared" ref="AI9:BB9" ca="1" si="38">AI38</f>
        <v xml:space="preserve"> </v>
      </c>
      <c r="AJ9" s="216" t="str">
        <f t="shared" ca="1" si="38"/>
        <v xml:space="preserve"> </v>
      </c>
      <c r="AK9" s="217" t="str">
        <f t="shared" ca="1" si="38"/>
        <v xml:space="preserve"> </v>
      </c>
      <c r="AL9" s="218" t="str">
        <f t="shared" ca="1" si="38"/>
        <v xml:space="preserve"> </v>
      </c>
      <c r="AM9" s="215" t="str">
        <f t="shared" ca="1" si="38"/>
        <v xml:space="preserve"> </v>
      </c>
      <c r="AN9" s="216" t="str">
        <f t="shared" ca="1" si="38"/>
        <v xml:space="preserve"> </v>
      </c>
      <c r="AO9" s="217" t="str">
        <f t="shared" ca="1" si="38"/>
        <v xml:space="preserve"> </v>
      </c>
      <c r="AP9" s="218" t="str">
        <f t="shared" ca="1" si="38"/>
        <v xml:space="preserve"> </v>
      </c>
      <c r="AQ9" s="215" t="str">
        <f t="shared" ca="1" si="38"/>
        <v xml:space="preserve"> </v>
      </c>
      <c r="AR9" s="216" t="str">
        <f t="shared" ca="1" si="38"/>
        <v xml:space="preserve"> </v>
      </c>
      <c r="AS9" s="217" t="str">
        <f t="shared" ca="1" si="38"/>
        <v xml:space="preserve"> </v>
      </c>
      <c r="AT9" s="218" t="str">
        <f t="shared" ca="1" si="38"/>
        <v xml:space="preserve"> </v>
      </c>
      <c r="AU9" s="215" t="str">
        <f t="shared" ca="1" si="38"/>
        <v xml:space="preserve"> </v>
      </c>
      <c r="AV9" s="216" t="str">
        <f t="shared" ca="1" si="38"/>
        <v>S</v>
      </c>
      <c r="AW9" s="217" t="str">
        <f t="shared" ca="1" si="38"/>
        <v xml:space="preserve"> </v>
      </c>
      <c r="AX9" s="218" t="str">
        <f t="shared" ca="1" si="38"/>
        <v xml:space="preserve"> </v>
      </c>
      <c r="AY9" s="215" t="str">
        <f t="shared" ca="1" si="38"/>
        <v xml:space="preserve"> </v>
      </c>
      <c r="AZ9" s="216" t="str">
        <f t="shared" ca="1" si="38"/>
        <v xml:space="preserve"> </v>
      </c>
      <c r="BA9" s="217" t="str">
        <f t="shared" ca="1" si="38"/>
        <v xml:space="preserve"> </v>
      </c>
      <c r="BB9" s="218" t="str">
        <f t="shared" ca="1" si="38"/>
        <v xml:space="preserve"> </v>
      </c>
      <c r="BC9" s="215" t="str">
        <f t="shared" ref="BC9:BF9" ca="1" si="39">BC38</f>
        <v xml:space="preserve"> </v>
      </c>
      <c r="BD9" s="216" t="str">
        <f t="shared" ca="1" si="39"/>
        <v xml:space="preserve"> </v>
      </c>
      <c r="BE9" s="217" t="str">
        <f t="shared" ca="1" si="39"/>
        <v xml:space="preserve"> </v>
      </c>
      <c r="BF9" s="218" t="str">
        <f t="shared" ca="1" si="39"/>
        <v xml:space="preserve"> </v>
      </c>
      <c r="BG9" s="170"/>
      <c r="BH9" s="125"/>
      <c r="BI9" s="125"/>
      <c r="BJ9" s="125"/>
      <c r="BK9" s="125"/>
      <c r="BL9" s="125"/>
      <c r="BM9" s="125"/>
      <c r="BN9" s="125"/>
      <c r="BO9" s="125"/>
      <c r="BP9" s="125"/>
      <c r="BQ9" s="125"/>
      <c r="BR9" s="125"/>
      <c r="BS9" s="125"/>
    </row>
    <row r="10" spans="1:71" s="93" customFormat="1" ht="15.75" x14ac:dyDescent="0.25">
      <c r="A10" s="104"/>
      <c r="C10" s="91"/>
      <c r="D10" s="92"/>
      <c r="F10" s="94"/>
      <c r="G10" s="91"/>
      <c r="H10" s="92"/>
      <c r="J10" s="94"/>
      <c r="K10" s="91"/>
      <c r="L10" s="92"/>
      <c r="N10" s="94"/>
      <c r="O10" s="91"/>
      <c r="P10" s="92"/>
      <c r="R10" s="94"/>
      <c r="S10" s="91"/>
      <c r="T10" s="92"/>
      <c r="V10" s="94"/>
      <c r="W10" s="91"/>
      <c r="X10" s="92"/>
      <c r="Z10" s="94"/>
      <c r="AA10" s="91"/>
      <c r="AB10" s="92"/>
      <c r="AD10" s="94"/>
      <c r="AE10" s="91"/>
      <c r="AF10" s="92"/>
      <c r="AH10" s="94"/>
      <c r="AI10" s="91"/>
      <c r="AJ10" s="92"/>
      <c r="AL10" s="94"/>
      <c r="AM10" s="91"/>
      <c r="AN10" s="92"/>
      <c r="AP10" s="94"/>
      <c r="AQ10" s="91"/>
      <c r="AR10" s="92"/>
      <c r="AT10" s="94"/>
      <c r="AU10" s="91"/>
      <c r="AV10" s="92"/>
      <c r="AX10" s="94"/>
      <c r="AY10" s="91"/>
      <c r="AZ10" s="92"/>
      <c r="BB10" s="94"/>
      <c r="BC10" s="91"/>
      <c r="BD10" s="92"/>
      <c r="BF10" s="94"/>
      <c r="BG10" s="171"/>
    </row>
    <row r="11" spans="1:71" s="60" customFormat="1" x14ac:dyDescent="0.25">
      <c r="A11" s="105" t="s">
        <v>199</v>
      </c>
      <c r="B11" s="105"/>
      <c r="C11" s="122" t="s">
        <v>263</v>
      </c>
      <c r="D11" s="123" t="s">
        <v>264</v>
      </c>
      <c r="E11" s="124" t="s">
        <v>265</v>
      </c>
      <c r="F11" s="124" t="s">
        <v>266</v>
      </c>
      <c r="G11" s="122" t="s">
        <v>263</v>
      </c>
      <c r="H11" s="123" t="s">
        <v>264</v>
      </c>
      <c r="I11" s="124" t="s">
        <v>265</v>
      </c>
      <c r="J11" s="124" t="s">
        <v>266</v>
      </c>
      <c r="K11" s="122" t="s">
        <v>263</v>
      </c>
      <c r="L11" s="123" t="s">
        <v>264</v>
      </c>
      <c r="M11" s="124" t="s">
        <v>265</v>
      </c>
      <c r="N11" s="124" t="s">
        <v>266</v>
      </c>
      <c r="O11" s="122" t="s">
        <v>263</v>
      </c>
      <c r="P11" s="123" t="s">
        <v>264</v>
      </c>
      <c r="Q11" s="124" t="s">
        <v>265</v>
      </c>
      <c r="R11" s="124" t="s">
        <v>266</v>
      </c>
      <c r="S11" s="122" t="s">
        <v>263</v>
      </c>
      <c r="T11" s="123" t="s">
        <v>264</v>
      </c>
      <c r="U11" s="124" t="s">
        <v>265</v>
      </c>
      <c r="V11" s="124" t="s">
        <v>266</v>
      </c>
      <c r="W11" s="122" t="s">
        <v>263</v>
      </c>
      <c r="X11" s="123" t="s">
        <v>264</v>
      </c>
      <c r="Y11" s="124" t="s">
        <v>265</v>
      </c>
      <c r="Z11" s="124" t="s">
        <v>266</v>
      </c>
      <c r="AA11" s="122" t="s">
        <v>263</v>
      </c>
      <c r="AB11" s="123" t="s">
        <v>264</v>
      </c>
      <c r="AC11" s="124" t="s">
        <v>265</v>
      </c>
      <c r="AD11" s="124" t="s">
        <v>266</v>
      </c>
      <c r="AE11" s="122" t="s">
        <v>263</v>
      </c>
      <c r="AF11" s="123" t="s">
        <v>264</v>
      </c>
      <c r="AG11" s="124" t="s">
        <v>265</v>
      </c>
      <c r="AH11" s="124" t="s">
        <v>266</v>
      </c>
      <c r="AI11" s="122" t="s">
        <v>263</v>
      </c>
      <c r="AJ11" s="123" t="s">
        <v>264</v>
      </c>
      <c r="AK11" s="124" t="s">
        <v>265</v>
      </c>
      <c r="AL11" s="124" t="s">
        <v>266</v>
      </c>
      <c r="AM11" s="122" t="s">
        <v>263</v>
      </c>
      <c r="AN11" s="123" t="s">
        <v>264</v>
      </c>
      <c r="AO11" s="124" t="s">
        <v>265</v>
      </c>
      <c r="AP11" s="124" t="s">
        <v>266</v>
      </c>
      <c r="AQ11" s="122" t="s">
        <v>263</v>
      </c>
      <c r="AR11" s="123" t="s">
        <v>264</v>
      </c>
      <c r="AS11" s="124" t="s">
        <v>265</v>
      </c>
      <c r="AT11" s="124" t="s">
        <v>266</v>
      </c>
      <c r="AU11" s="122" t="s">
        <v>263</v>
      </c>
      <c r="AV11" s="123" t="s">
        <v>264</v>
      </c>
      <c r="AW11" s="124" t="s">
        <v>265</v>
      </c>
      <c r="AX11" s="124" t="s">
        <v>266</v>
      </c>
      <c r="AY11" s="122" t="s">
        <v>263</v>
      </c>
      <c r="AZ11" s="123" t="s">
        <v>264</v>
      </c>
      <c r="BA11" s="124" t="s">
        <v>265</v>
      </c>
      <c r="BB11" s="124" t="s">
        <v>266</v>
      </c>
      <c r="BC11" s="122" t="s">
        <v>263</v>
      </c>
      <c r="BD11" s="123" t="s">
        <v>264</v>
      </c>
      <c r="BE11" s="124" t="s">
        <v>265</v>
      </c>
      <c r="BF11" s="124" t="s">
        <v>266</v>
      </c>
      <c r="BG11" s="167"/>
    </row>
    <row r="12" spans="1:71" s="60" customFormat="1" x14ac:dyDescent="0.25">
      <c r="A12" s="102"/>
      <c r="C12" s="109"/>
      <c r="D12" s="110"/>
      <c r="E12" s="111"/>
      <c r="F12" s="112"/>
      <c r="G12" s="109"/>
      <c r="H12" s="110"/>
      <c r="I12" s="111"/>
      <c r="J12" s="112"/>
      <c r="K12" s="109"/>
      <c r="L12" s="110"/>
      <c r="M12" s="111"/>
      <c r="N12" s="112"/>
      <c r="O12" s="109"/>
      <c r="P12" s="110"/>
      <c r="Q12" s="111"/>
      <c r="R12" s="112"/>
      <c r="S12" s="109"/>
      <c r="T12" s="110"/>
      <c r="U12" s="111"/>
      <c r="V12" s="112"/>
      <c r="W12" s="109"/>
      <c r="X12" s="110"/>
      <c r="Y12" s="111"/>
      <c r="Z12" s="112"/>
      <c r="AA12" s="109"/>
      <c r="AB12" s="110"/>
      <c r="AC12" s="111"/>
      <c r="AD12" s="112"/>
      <c r="AE12" s="109"/>
      <c r="AF12" s="110"/>
      <c r="AG12" s="111"/>
      <c r="AH12" s="112"/>
      <c r="AI12" s="109"/>
      <c r="AJ12" s="110"/>
      <c r="AK12" s="111"/>
      <c r="AL12" s="112"/>
      <c r="AM12" s="109"/>
      <c r="AN12" s="110"/>
      <c r="AO12" s="111"/>
      <c r="AP12" s="112"/>
      <c r="AQ12" s="109"/>
      <c r="AR12" s="110"/>
      <c r="AS12" s="111"/>
      <c r="AT12" s="112"/>
      <c r="AU12" s="109"/>
      <c r="AV12" s="110"/>
      <c r="AW12" s="111"/>
      <c r="AX12" s="112"/>
      <c r="AY12" s="109"/>
      <c r="AZ12" s="110"/>
      <c r="BA12" s="111"/>
      <c r="BB12" s="112"/>
      <c r="BC12" s="109"/>
      <c r="BD12" s="110"/>
      <c r="BE12" s="111"/>
      <c r="BF12" s="112"/>
      <c r="BG12" s="167"/>
    </row>
    <row r="13" spans="1:71" s="60" customFormat="1" x14ac:dyDescent="0.25">
      <c r="A13" s="102" t="s">
        <v>105</v>
      </c>
      <c r="C13" s="121"/>
      <c r="D13" s="118"/>
      <c r="E13" s="119"/>
      <c r="F13" s="120"/>
      <c r="G13" s="121"/>
      <c r="H13" s="118"/>
      <c r="I13" s="119"/>
      <c r="J13" s="120"/>
      <c r="K13" s="121"/>
      <c r="L13" s="118"/>
      <c r="M13" s="119"/>
      <c r="N13" s="120"/>
      <c r="O13" s="121"/>
      <c r="P13" s="118"/>
      <c r="Q13" s="119"/>
      <c r="R13" s="120"/>
      <c r="S13" s="121"/>
      <c r="T13" s="118"/>
      <c r="U13" s="119"/>
      <c r="V13" s="120"/>
      <c r="W13" s="121"/>
      <c r="X13" s="118"/>
      <c r="Y13" s="119"/>
      <c r="Z13" s="120"/>
      <c r="AA13" s="121"/>
      <c r="AB13" s="118"/>
      <c r="AC13" s="119"/>
      <c r="AD13" s="120"/>
      <c r="AE13" s="121"/>
      <c r="AF13" s="118"/>
      <c r="AG13" s="119"/>
      <c r="AH13" s="120"/>
      <c r="AI13" s="121"/>
      <c r="AJ13" s="118"/>
      <c r="AK13" s="119"/>
      <c r="AL13" s="120"/>
      <c r="AM13" s="121"/>
      <c r="AN13" s="118"/>
      <c r="AO13" s="119"/>
      <c r="AP13" s="120"/>
      <c r="AQ13" s="121"/>
      <c r="AR13" s="118"/>
      <c r="AS13" s="119"/>
      <c r="AT13" s="120"/>
      <c r="AU13" s="121"/>
      <c r="AV13" s="118"/>
      <c r="AW13" s="119"/>
      <c r="AX13" s="120"/>
      <c r="AY13" s="121"/>
      <c r="AZ13" s="118"/>
      <c r="BA13" s="119"/>
      <c r="BB13" s="120"/>
      <c r="BC13" s="121"/>
      <c r="BD13" s="118"/>
      <c r="BE13" s="119"/>
      <c r="BF13" s="120"/>
      <c r="BG13" s="167"/>
    </row>
    <row r="14" spans="1:71" s="60" customFormat="1" x14ac:dyDescent="0.25">
      <c r="A14" s="102"/>
      <c r="C14" s="121"/>
      <c r="D14" s="118"/>
      <c r="E14" s="119"/>
      <c r="F14" s="120"/>
      <c r="G14" s="121"/>
      <c r="H14" s="118"/>
      <c r="I14" s="119"/>
      <c r="J14" s="120"/>
      <c r="K14" s="121"/>
      <c r="L14" s="118"/>
      <c r="M14" s="119"/>
      <c r="N14" s="120"/>
      <c r="O14" s="121"/>
      <c r="P14" s="118"/>
      <c r="Q14" s="119"/>
      <c r="R14" s="120"/>
      <c r="S14" s="121"/>
      <c r="T14" s="118"/>
      <c r="U14" s="119"/>
      <c r="V14" s="120"/>
      <c r="W14" s="121"/>
      <c r="X14" s="118"/>
      <c r="Y14" s="119"/>
      <c r="Z14" s="120"/>
      <c r="AA14" s="121"/>
      <c r="AB14" s="118"/>
      <c r="AC14" s="119"/>
      <c r="AD14" s="120"/>
      <c r="AE14" s="121"/>
      <c r="AF14" s="118"/>
      <c r="AG14" s="119"/>
      <c r="AH14" s="120"/>
      <c r="AI14" s="121"/>
      <c r="AJ14" s="118"/>
      <c r="AK14" s="119"/>
      <c r="AL14" s="120"/>
      <c r="AM14" s="121"/>
      <c r="AN14" s="118"/>
      <c r="AO14" s="119"/>
      <c r="AP14" s="120"/>
      <c r="AQ14" s="121"/>
      <c r="AR14" s="118"/>
      <c r="AS14" s="119"/>
      <c r="AT14" s="120"/>
      <c r="AU14" s="121"/>
      <c r="AV14" s="118"/>
      <c r="AW14" s="119"/>
      <c r="AX14" s="120"/>
      <c r="AY14" s="121"/>
      <c r="AZ14" s="118"/>
      <c r="BA14" s="119"/>
      <c r="BB14" s="120"/>
      <c r="BC14" s="121"/>
      <c r="BD14" s="118"/>
      <c r="BE14" s="119"/>
      <c r="BF14" s="120"/>
      <c r="BG14" s="167"/>
    </row>
    <row r="15" spans="1:71" s="60" customFormat="1" x14ac:dyDescent="0.25">
      <c r="A15" s="102"/>
      <c r="C15" s="121"/>
      <c r="D15" s="118"/>
      <c r="E15" s="119"/>
      <c r="F15" s="120"/>
      <c r="G15" s="121"/>
      <c r="H15" s="118"/>
      <c r="I15" s="119"/>
      <c r="J15" s="120"/>
      <c r="K15" s="121"/>
      <c r="L15" s="118"/>
      <c r="M15" s="119"/>
      <c r="N15" s="120"/>
      <c r="O15" s="121"/>
      <c r="P15" s="118"/>
      <c r="Q15" s="119"/>
      <c r="R15" s="120"/>
      <c r="S15" s="121"/>
      <c r="T15" s="118"/>
      <c r="U15" s="119"/>
      <c r="V15" s="120"/>
      <c r="W15" s="121"/>
      <c r="X15" s="118"/>
      <c r="Y15" s="119"/>
      <c r="Z15" s="120"/>
      <c r="AA15" s="121"/>
      <c r="AB15" s="118"/>
      <c r="AC15" s="119"/>
      <c r="AD15" s="120"/>
      <c r="AE15" s="121"/>
      <c r="AF15" s="118"/>
      <c r="AG15" s="119"/>
      <c r="AH15" s="120"/>
      <c r="AI15" s="121"/>
      <c r="AJ15" s="118"/>
      <c r="AK15" s="119"/>
      <c r="AL15" s="120"/>
      <c r="AM15" s="121"/>
      <c r="AN15" s="118"/>
      <c r="AO15" s="119"/>
      <c r="AP15" s="120"/>
      <c r="AQ15" s="121"/>
      <c r="AR15" s="118"/>
      <c r="AS15" s="119"/>
      <c r="AT15" s="120"/>
      <c r="AU15" s="121"/>
      <c r="AV15" s="118"/>
      <c r="AW15" s="119"/>
      <c r="AX15" s="120"/>
      <c r="AY15" s="121"/>
      <c r="AZ15" s="118"/>
      <c r="BA15" s="119"/>
      <c r="BB15" s="120"/>
      <c r="BC15" s="121"/>
      <c r="BD15" s="118"/>
      <c r="BE15" s="119"/>
      <c r="BF15" s="120"/>
      <c r="BG15" s="167"/>
    </row>
    <row r="16" spans="1:71" s="60" customFormat="1" x14ac:dyDescent="0.25">
      <c r="A16" s="102"/>
      <c r="C16" s="121"/>
      <c r="D16" s="118"/>
      <c r="E16" s="119"/>
      <c r="F16" s="120"/>
      <c r="G16" s="121"/>
      <c r="H16" s="118"/>
      <c r="I16" s="119"/>
      <c r="J16" s="120"/>
      <c r="K16" s="121"/>
      <c r="L16" s="118"/>
      <c r="M16" s="119"/>
      <c r="N16" s="120"/>
      <c r="O16" s="121"/>
      <c r="P16" s="118"/>
      <c r="Q16" s="119"/>
      <c r="R16" s="120"/>
      <c r="S16" s="121"/>
      <c r="T16" s="118"/>
      <c r="U16" s="119"/>
      <c r="V16" s="120"/>
      <c r="W16" s="121"/>
      <c r="X16" s="118"/>
      <c r="Y16" s="119"/>
      <c r="Z16" s="120"/>
      <c r="AA16" s="121"/>
      <c r="AB16" s="118"/>
      <c r="AC16" s="119"/>
      <c r="AD16" s="120"/>
      <c r="AE16" s="121"/>
      <c r="AF16" s="118"/>
      <c r="AG16" s="119"/>
      <c r="AH16" s="120"/>
      <c r="AI16" s="121"/>
      <c r="AJ16" s="118"/>
      <c r="AK16" s="119"/>
      <c r="AL16" s="120"/>
      <c r="AM16" s="121"/>
      <c r="AN16" s="118"/>
      <c r="AO16" s="119"/>
      <c r="AP16" s="120"/>
      <c r="AQ16" s="121"/>
      <c r="AR16" s="118"/>
      <c r="AS16" s="119"/>
      <c r="AT16" s="120"/>
      <c r="AU16" s="121"/>
      <c r="AV16" s="118"/>
      <c r="AW16" s="119"/>
      <c r="AX16" s="120"/>
      <c r="AY16" s="121"/>
      <c r="AZ16" s="118"/>
      <c r="BA16" s="119"/>
      <c r="BB16" s="120"/>
      <c r="BC16" s="121"/>
      <c r="BD16" s="118"/>
      <c r="BE16" s="119"/>
      <c r="BF16" s="120"/>
      <c r="BG16" s="167"/>
    </row>
    <row r="17" spans="1:71" s="60" customFormat="1" x14ac:dyDescent="0.25">
      <c r="A17" s="102"/>
      <c r="C17" s="121"/>
      <c r="D17" s="118"/>
      <c r="E17" s="119"/>
      <c r="F17" s="120"/>
      <c r="G17" s="121"/>
      <c r="H17" s="118"/>
      <c r="I17" s="119"/>
      <c r="J17" s="120"/>
      <c r="K17" s="121"/>
      <c r="L17" s="118"/>
      <c r="M17" s="119"/>
      <c r="N17" s="120"/>
      <c r="O17" s="121"/>
      <c r="P17" s="118"/>
      <c r="Q17" s="119"/>
      <c r="R17" s="120"/>
      <c r="S17" s="121"/>
      <c r="T17" s="118"/>
      <c r="U17" s="119"/>
      <c r="V17" s="120"/>
      <c r="W17" s="121"/>
      <c r="X17" s="118"/>
      <c r="Y17" s="119"/>
      <c r="Z17" s="120"/>
      <c r="AA17" s="121"/>
      <c r="AB17" s="118"/>
      <c r="AC17" s="119"/>
      <c r="AD17" s="120"/>
      <c r="AE17" s="121"/>
      <c r="AF17" s="118"/>
      <c r="AG17" s="119"/>
      <c r="AH17" s="120"/>
      <c r="AI17" s="121"/>
      <c r="AJ17" s="118"/>
      <c r="AK17" s="119"/>
      <c r="AL17" s="120"/>
      <c r="AM17" s="121"/>
      <c r="AN17" s="118"/>
      <c r="AO17" s="119"/>
      <c r="AP17" s="120"/>
      <c r="AQ17" s="121"/>
      <c r="AR17" s="118"/>
      <c r="AS17" s="119"/>
      <c r="AT17" s="120"/>
      <c r="AU17" s="121"/>
      <c r="AV17" s="118"/>
      <c r="AW17" s="119"/>
      <c r="AX17" s="120"/>
      <c r="AY17" s="121"/>
      <c r="AZ17" s="118"/>
      <c r="BA17" s="119"/>
      <c r="BB17" s="120"/>
      <c r="BC17" s="121"/>
      <c r="BD17" s="118"/>
      <c r="BE17" s="119"/>
      <c r="BF17" s="120"/>
      <c r="BG17" s="167"/>
    </row>
    <row r="18" spans="1:71" s="60" customFormat="1" x14ac:dyDescent="0.25">
      <c r="A18" s="102"/>
      <c r="C18" s="121"/>
      <c r="D18" s="118"/>
      <c r="E18" s="119"/>
      <c r="F18" s="120"/>
      <c r="G18" s="121"/>
      <c r="H18" s="118"/>
      <c r="I18" s="119"/>
      <c r="J18" s="120"/>
      <c r="K18" s="121"/>
      <c r="L18" s="118"/>
      <c r="M18" s="119"/>
      <c r="N18" s="120"/>
      <c r="O18" s="121"/>
      <c r="P18" s="118"/>
      <c r="Q18" s="119"/>
      <c r="R18" s="120"/>
      <c r="S18" s="121"/>
      <c r="T18" s="118"/>
      <c r="U18" s="119"/>
      <c r="V18" s="120"/>
      <c r="W18" s="121"/>
      <c r="X18" s="118"/>
      <c r="Y18" s="119"/>
      <c r="Z18" s="120"/>
      <c r="AA18" s="121"/>
      <c r="AB18" s="118"/>
      <c r="AC18" s="119"/>
      <c r="AD18" s="120"/>
      <c r="AE18" s="121"/>
      <c r="AF18" s="118"/>
      <c r="AG18" s="119"/>
      <c r="AH18" s="120"/>
      <c r="AI18" s="121"/>
      <c r="AJ18" s="118"/>
      <c r="AK18" s="119"/>
      <c r="AL18" s="120"/>
      <c r="AM18" s="121"/>
      <c r="AN18" s="118"/>
      <c r="AO18" s="119"/>
      <c r="AP18" s="120"/>
      <c r="AQ18" s="121"/>
      <c r="AR18" s="118"/>
      <c r="AS18" s="119"/>
      <c r="AT18" s="120"/>
      <c r="AU18" s="121"/>
      <c r="AV18" s="118"/>
      <c r="AW18" s="119"/>
      <c r="AX18" s="120"/>
      <c r="AY18" s="121"/>
      <c r="AZ18" s="118"/>
      <c r="BA18" s="119"/>
      <c r="BB18" s="120"/>
      <c r="BC18" s="121"/>
      <c r="BD18" s="118"/>
      <c r="BE18" s="119"/>
      <c r="BF18" s="120"/>
      <c r="BG18" s="167"/>
    </row>
    <row r="19" spans="1:71" s="60" customFormat="1" x14ac:dyDescent="0.25">
      <c r="A19" s="102"/>
      <c r="C19" s="121"/>
      <c r="D19" s="118"/>
      <c r="E19" s="119"/>
      <c r="F19" s="120"/>
      <c r="G19" s="121"/>
      <c r="H19" s="118"/>
      <c r="I19" s="119"/>
      <c r="J19" s="120"/>
      <c r="K19" s="121"/>
      <c r="L19" s="118"/>
      <c r="M19" s="119"/>
      <c r="N19" s="120"/>
      <c r="O19" s="121"/>
      <c r="P19" s="118"/>
      <c r="Q19" s="119"/>
      <c r="R19" s="120"/>
      <c r="S19" s="121"/>
      <c r="T19" s="118"/>
      <c r="U19" s="119"/>
      <c r="V19" s="120"/>
      <c r="W19" s="121"/>
      <c r="X19" s="118"/>
      <c r="Y19" s="119"/>
      <c r="Z19" s="120"/>
      <c r="AA19" s="121"/>
      <c r="AB19" s="118"/>
      <c r="AC19" s="119"/>
      <c r="AD19" s="120"/>
      <c r="AE19" s="121"/>
      <c r="AF19" s="118"/>
      <c r="AG19" s="119"/>
      <c r="AH19" s="120"/>
      <c r="AI19" s="121"/>
      <c r="AJ19" s="118"/>
      <c r="AK19" s="119"/>
      <c r="AL19" s="120"/>
      <c r="AM19" s="121"/>
      <c r="AN19" s="118"/>
      <c r="AO19" s="119"/>
      <c r="AP19" s="120"/>
      <c r="AQ19" s="121"/>
      <c r="AR19" s="118"/>
      <c r="AS19" s="119"/>
      <c r="AT19" s="120"/>
      <c r="AU19" s="121"/>
      <c r="AV19" s="118"/>
      <c r="AW19" s="119"/>
      <c r="AX19" s="120"/>
      <c r="AY19" s="121"/>
      <c r="AZ19" s="118"/>
      <c r="BA19" s="119"/>
      <c r="BB19" s="120"/>
      <c r="BC19" s="121"/>
      <c r="BD19" s="118"/>
      <c r="BE19" s="119"/>
      <c r="BF19" s="120"/>
      <c r="BG19" s="167"/>
    </row>
    <row r="20" spans="1:71" s="60" customFormat="1" x14ac:dyDescent="0.25">
      <c r="A20" s="102"/>
      <c r="C20" s="121"/>
      <c r="D20" s="118"/>
      <c r="E20" s="119"/>
      <c r="F20" s="120"/>
      <c r="G20" s="121"/>
      <c r="H20" s="118"/>
      <c r="I20" s="119"/>
      <c r="J20" s="120"/>
      <c r="K20" s="121"/>
      <c r="L20" s="118"/>
      <c r="M20" s="119"/>
      <c r="N20" s="120"/>
      <c r="O20" s="121"/>
      <c r="P20" s="118"/>
      <c r="Q20" s="119"/>
      <c r="R20" s="120"/>
      <c r="S20" s="121"/>
      <c r="T20" s="118"/>
      <c r="U20" s="119"/>
      <c r="V20" s="120"/>
      <c r="W20" s="121"/>
      <c r="X20" s="118"/>
      <c r="Y20" s="119"/>
      <c r="Z20" s="120"/>
      <c r="AA20" s="121"/>
      <c r="AB20" s="118"/>
      <c r="AC20" s="119"/>
      <c r="AD20" s="120"/>
      <c r="AE20" s="121"/>
      <c r="AF20" s="118"/>
      <c r="AG20" s="119"/>
      <c r="AH20" s="120"/>
      <c r="AI20" s="121"/>
      <c r="AJ20" s="118"/>
      <c r="AK20" s="119"/>
      <c r="AL20" s="120"/>
      <c r="AM20" s="121"/>
      <c r="AN20" s="118"/>
      <c r="AO20" s="119"/>
      <c r="AP20" s="120"/>
      <c r="AQ20" s="121"/>
      <c r="AR20" s="118"/>
      <c r="AS20" s="119"/>
      <c r="AT20" s="120"/>
      <c r="AU20" s="121"/>
      <c r="AV20" s="118"/>
      <c r="AW20" s="119"/>
      <c r="AX20" s="120"/>
      <c r="AY20" s="121"/>
      <c r="AZ20" s="118"/>
      <c r="BA20" s="119"/>
      <c r="BB20" s="120"/>
      <c r="BC20" s="121"/>
      <c r="BD20" s="118"/>
      <c r="BE20" s="119"/>
      <c r="BF20" s="120"/>
      <c r="BG20" s="167"/>
    </row>
    <row r="21" spans="1:71" s="60" customFormat="1" x14ac:dyDescent="0.25">
      <c r="A21" s="102"/>
      <c r="C21" s="121"/>
      <c r="D21" s="118"/>
      <c r="E21" s="119"/>
      <c r="F21" s="120"/>
      <c r="G21" s="121"/>
      <c r="H21" s="118"/>
      <c r="I21" s="119"/>
      <c r="J21" s="120"/>
      <c r="K21" s="121"/>
      <c r="L21" s="118"/>
      <c r="M21" s="119"/>
      <c r="N21" s="120"/>
      <c r="O21" s="121"/>
      <c r="P21" s="118"/>
      <c r="Q21" s="119"/>
      <c r="R21" s="120"/>
      <c r="S21" s="121"/>
      <c r="T21" s="118"/>
      <c r="U21" s="119"/>
      <c r="V21" s="120"/>
      <c r="W21" s="121"/>
      <c r="X21" s="118"/>
      <c r="Y21" s="119"/>
      <c r="Z21" s="120"/>
      <c r="AA21" s="121"/>
      <c r="AB21" s="118"/>
      <c r="AC21" s="119"/>
      <c r="AD21" s="120"/>
      <c r="AE21" s="121"/>
      <c r="AF21" s="118"/>
      <c r="AG21" s="119"/>
      <c r="AH21" s="120"/>
      <c r="AI21" s="121"/>
      <c r="AJ21" s="118"/>
      <c r="AK21" s="119"/>
      <c r="AL21" s="120"/>
      <c r="AM21" s="121"/>
      <c r="AN21" s="118"/>
      <c r="AO21" s="119"/>
      <c r="AP21" s="120"/>
      <c r="AQ21" s="121"/>
      <c r="AR21" s="118"/>
      <c r="AS21" s="119"/>
      <c r="AT21" s="120"/>
      <c r="AU21" s="121"/>
      <c r="AV21" s="118"/>
      <c r="AW21" s="119"/>
      <c r="AX21" s="120"/>
      <c r="AY21" s="121"/>
      <c r="AZ21" s="118"/>
      <c r="BA21" s="119"/>
      <c r="BB21" s="120"/>
      <c r="BC21" s="121"/>
      <c r="BD21" s="118"/>
      <c r="BE21" s="119"/>
      <c r="BF21" s="120"/>
      <c r="BG21" s="167"/>
    </row>
    <row r="22" spans="1:71" s="204" customFormat="1" ht="12.75" x14ac:dyDescent="0.25">
      <c r="A22" s="201" t="s">
        <v>104</v>
      </c>
      <c r="B22" s="202"/>
      <c r="C22" s="207" t="str">
        <f t="shared" ref="C22:R23" ca="1" si="40">C39</f>
        <v>Ý</v>
      </c>
      <c r="D22" s="208" t="str">
        <f t="shared" ca="1" si="40"/>
        <v>Ù</v>
      </c>
      <c r="E22" s="209" t="str">
        <f t="shared" ca="1" si="40"/>
        <v>Ù</v>
      </c>
      <c r="F22" s="210" t="str">
        <f t="shared" ca="1" si="40"/>
        <v>Ù</v>
      </c>
      <c r="G22" s="207" t="str">
        <f t="shared" ca="1" si="40"/>
        <v>Ù</v>
      </c>
      <c r="H22" s="208" t="str">
        <f t="shared" ca="1" si="40"/>
        <v>Ù</v>
      </c>
      <c r="I22" s="209" t="str">
        <f t="shared" ca="1" si="40"/>
        <v>Ý</v>
      </c>
      <c r="J22" s="210" t="str">
        <f t="shared" ca="1" si="40"/>
        <v>Ý</v>
      </c>
      <c r="K22" s="207" t="str">
        <f t="shared" ref="K22:AH23" ca="1" si="41">K39</f>
        <v>Ý</v>
      </c>
      <c r="L22" s="208" t="str">
        <f t="shared" ca="1" si="41"/>
        <v>Ý</v>
      </c>
      <c r="M22" s="209" t="str">
        <f t="shared" ca="1" si="41"/>
        <v>Û</v>
      </c>
      <c r="N22" s="210" t="str">
        <f t="shared" ca="1" si="41"/>
        <v>Ý</v>
      </c>
      <c r="O22" s="207" t="str">
        <f t="shared" ca="1" si="41"/>
        <v>Û</v>
      </c>
      <c r="P22" s="208" t="str">
        <f t="shared" ca="1" si="41"/>
        <v>Ú</v>
      </c>
      <c r="Q22" s="209" t="str">
        <f t="shared" ca="1" si="41"/>
        <v>Ú</v>
      </c>
      <c r="R22" s="210" t="str">
        <f t="shared" ca="1" si="41"/>
        <v>Ú</v>
      </c>
      <c r="S22" s="207" t="str">
        <f t="shared" ca="1" si="41"/>
        <v>Ú</v>
      </c>
      <c r="T22" s="208" t="str">
        <f t="shared" ca="1" si="41"/>
        <v>Ú</v>
      </c>
      <c r="U22" s="209" t="str">
        <f t="shared" ca="1" si="41"/>
        <v>à</v>
      </c>
      <c r="V22" s="210" t="str">
        <f t="shared" ca="1" si="41"/>
        <v>ß</v>
      </c>
      <c r="W22" s="207" t="str">
        <f t="shared" ca="1" si="41"/>
        <v>Ü</v>
      </c>
      <c r="X22" s="208" t="str">
        <f t="shared" ca="1" si="41"/>
        <v>Ù</v>
      </c>
      <c r="Y22" s="209" t="str">
        <f t="shared" ca="1" si="41"/>
        <v>Û</v>
      </c>
      <c r="Z22" s="210" t="str">
        <f t="shared" ca="1" si="41"/>
        <v>Ý</v>
      </c>
      <c r="AA22" s="207" t="str">
        <f t="shared" ca="1" si="41"/>
        <v>Ý</v>
      </c>
      <c r="AB22" s="208" t="str">
        <f t="shared" ca="1" si="41"/>
        <v>Ù</v>
      </c>
      <c r="AC22" s="209" t="str">
        <f t="shared" ca="1" si="41"/>
        <v>Ù</v>
      </c>
      <c r="AD22" s="210" t="str">
        <f t="shared" ca="1" si="41"/>
        <v>Ù</v>
      </c>
      <c r="AE22" s="207" t="str">
        <f t="shared" ca="1" si="41"/>
        <v>Ù</v>
      </c>
      <c r="AF22" s="208" t="str">
        <f t="shared" ca="1" si="41"/>
        <v>Ù</v>
      </c>
      <c r="AG22" s="209" t="str">
        <f t="shared" ca="1" si="41"/>
        <v>­</v>
      </c>
      <c r="AH22" s="210" t="str">
        <f t="shared" ca="1" si="41"/>
        <v>à</v>
      </c>
      <c r="AI22" s="207" t="str">
        <f t="shared" ref="AI22:BB23" ca="1" si="42">AI39</f>
        <v>Ú</v>
      </c>
      <c r="AJ22" s="208" t="str">
        <f t="shared" ca="1" si="42"/>
        <v>Þ</v>
      </c>
      <c r="AK22" s="209" t="str">
        <f t="shared" ca="1" si="42"/>
        <v>Ú</v>
      </c>
      <c r="AL22" s="210" t="str">
        <f t="shared" ca="1" si="42"/>
        <v>Ú</v>
      </c>
      <c r="AM22" s="207" t="str">
        <f t="shared" ca="1" si="42"/>
        <v>Ú</v>
      </c>
      <c r="AN22" s="208" t="str">
        <f t="shared" ca="1" si="42"/>
        <v>Ú</v>
      </c>
      <c r="AO22" s="209" t="str">
        <f t="shared" ca="1" si="42"/>
        <v>Ú</v>
      </c>
      <c r="AP22" s="210" t="str">
        <f t="shared" ca="1" si="42"/>
        <v>Þ</v>
      </c>
      <c r="AQ22" s="207" t="str">
        <f t="shared" ca="1" si="42"/>
        <v>Þ</v>
      </c>
      <c r="AR22" s="208" t="str">
        <f t="shared" ca="1" si="42"/>
        <v>Þ</v>
      </c>
      <c r="AS22" s="209" t="str">
        <f t="shared" ca="1" si="42"/>
        <v>Ú</v>
      </c>
      <c r="AT22" s="210" t="str">
        <f t="shared" ca="1" si="42"/>
        <v>Ú</v>
      </c>
      <c r="AU22" s="207" t="str">
        <f t="shared" ca="1" si="42"/>
        <v>Ú</v>
      </c>
      <c r="AV22" s="208" t="str">
        <f t="shared" ca="1" si="42"/>
        <v>Ú</v>
      </c>
      <c r="AW22" s="209" t="str">
        <f t="shared" ca="1" si="42"/>
        <v>Þ</v>
      </c>
      <c r="AX22" s="210" t="str">
        <f t="shared" ca="1" si="42"/>
        <v>Þ</v>
      </c>
      <c r="AY22" s="207" t="str">
        <f t="shared" ca="1" si="42"/>
        <v>Þ</v>
      </c>
      <c r="AZ22" s="208" t="str">
        <f t="shared" ca="1" si="42"/>
        <v>Þ</v>
      </c>
      <c r="BA22" s="209" t="str">
        <f t="shared" ca="1" si="42"/>
        <v>Þ</v>
      </c>
      <c r="BB22" s="210" t="str">
        <f t="shared" ca="1" si="42"/>
        <v>Þ</v>
      </c>
      <c r="BC22" s="207" t="str">
        <f t="shared" ref="BC22:BF23" ca="1" si="43">BC39</f>
        <v>Þ</v>
      </c>
      <c r="BD22" s="208" t="str">
        <f t="shared" ca="1" si="43"/>
        <v>Þ</v>
      </c>
      <c r="BE22" s="209" t="str">
        <f t="shared" ca="1" si="43"/>
        <v>Þ</v>
      </c>
      <c r="BF22" s="210" t="str">
        <f t="shared" ca="1" si="43"/>
        <v>Þ</v>
      </c>
      <c r="BG22" s="203"/>
      <c r="BH22" s="202"/>
      <c r="BI22" s="202"/>
      <c r="BJ22" s="202"/>
      <c r="BK22" s="202"/>
      <c r="BL22" s="202"/>
      <c r="BM22" s="202"/>
      <c r="BN22" s="202"/>
      <c r="BO22" s="202"/>
      <c r="BP22" s="202"/>
      <c r="BQ22" s="202"/>
      <c r="BR22" s="202"/>
      <c r="BS22" s="202"/>
    </row>
    <row r="23" spans="1:71" s="183" customFormat="1" x14ac:dyDescent="0.25">
      <c r="C23" s="205">
        <f ca="1">C40</f>
        <v>3</v>
      </c>
      <c r="D23" s="206">
        <f t="shared" ca="1" si="40"/>
        <v>4</v>
      </c>
      <c r="E23" s="205">
        <f t="shared" ca="1" si="40"/>
        <v>5</v>
      </c>
      <c r="F23" s="206">
        <f t="shared" ca="1" si="40"/>
        <v>5</v>
      </c>
      <c r="G23" s="205">
        <f t="shared" ca="1" si="40"/>
        <v>4</v>
      </c>
      <c r="H23" s="206">
        <f t="shared" ca="1" si="40"/>
        <v>3</v>
      </c>
      <c r="I23" s="205">
        <f t="shared" ca="1" si="40"/>
        <v>4</v>
      </c>
      <c r="J23" s="206">
        <f t="shared" ca="1" si="40"/>
        <v>2</v>
      </c>
      <c r="K23" s="205">
        <f t="shared" ca="1" si="40"/>
        <v>4</v>
      </c>
      <c r="L23" s="206">
        <f t="shared" ca="1" si="40"/>
        <v>6</v>
      </c>
      <c r="M23" s="205">
        <f t="shared" ca="1" si="40"/>
        <v>8</v>
      </c>
      <c r="N23" s="206">
        <f t="shared" ca="1" si="40"/>
        <v>6</v>
      </c>
      <c r="O23" s="205">
        <f t="shared" ca="1" si="40"/>
        <v>7</v>
      </c>
      <c r="P23" s="206">
        <f t="shared" ca="1" si="40"/>
        <v>6</v>
      </c>
      <c r="Q23" s="205">
        <f t="shared" ca="1" si="40"/>
        <v>7</v>
      </c>
      <c r="R23" s="206">
        <f t="shared" ca="1" si="40"/>
        <v>6</v>
      </c>
      <c r="S23" s="205">
        <f t="shared" ref="S23" ca="1" si="44">S40</f>
        <v>5</v>
      </c>
      <c r="T23" s="206">
        <f t="shared" ca="1" si="41"/>
        <v>4</v>
      </c>
      <c r="U23" s="205">
        <f t="shared" ca="1" si="41"/>
        <v>3</v>
      </c>
      <c r="V23" s="206">
        <f t="shared" ca="1" si="41"/>
        <v>1</v>
      </c>
      <c r="W23" s="205">
        <f t="shared" ca="1" si="41"/>
        <v>1</v>
      </c>
      <c r="X23" s="206">
        <f t="shared" ca="1" si="41"/>
        <v>1</v>
      </c>
      <c r="Y23" s="205">
        <f t="shared" ca="1" si="41"/>
        <v>2</v>
      </c>
      <c r="Z23" s="206">
        <f t="shared" ca="1" si="41"/>
        <v>4</v>
      </c>
      <c r="AA23" s="205">
        <f t="shared" ca="1" si="41"/>
        <v>4</v>
      </c>
      <c r="AB23" s="206">
        <f t="shared" ca="1" si="41"/>
        <v>4</v>
      </c>
      <c r="AC23" s="205">
        <f t="shared" ca="1" si="41"/>
        <v>4</v>
      </c>
      <c r="AD23" s="206">
        <f t="shared" ca="1" si="41"/>
        <v>4</v>
      </c>
      <c r="AE23" s="205">
        <f t="shared" ca="1" si="41"/>
        <v>3</v>
      </c>
      <c r="AF23" s="206">
        <f t="shared" ca="1" si="41"/>
        <v>2</v>
      </c>
      <c r="AG23" s="205" t="str">
        <f t="shared" ca="1" si="41"/>
        <v>štilis</v>
      </c>
      <c r="AH23" s="206">
        <f t="shared" ca="1" si="41"/>
        <v>1</v>
      </c>
      <c r="AI23" s="205">
        <f t="shared" ref="AI23" ca="1" si="45">AI40</f>
        <v>2</v>
      </c>
      <c r="AJ23" s="206">
        <f t="shared" ca="1" si="42"/>
        <v>3</v>
      </c>
      <c r="AK23" s="205">
        <f t="shared" ca="1" si="42"/>
        <v>6</v>
      </c>
      <c r="AL23" s="206">
        <f t="shared" ca="1" si="42"/>
        <v>5</v>
      </c>
      <c r="AM23" s="205">
        <f t="shared" ca="1" si="42"/>
        <v>3</v>
      </c>
      <c r="AN23" s="206">
        <f t="shared" ca="1" si="42"/>
        <v>2</v>
      </c>
      <c r="AO23" s="205">
        <f t="shared" ca="1" si="42"/>
        <v>3</v>
      </c>
      <c r="AP23" s="206">
        <f t="shared" ca="1" si="42"/>
        <v>2</v>
      </c>
      <c r="AQ23" s="205">
        <f t="shared" ca="1" si="42"/>
        <v>2</v>
      </c>
      <c r="AR23" s="206">
        <f t="shared" ca="1" si="42"/>
        <v>2</v>
      </c>
      <c r="AS23" s="205">
        <f t="shared" ca="1" si="42"/>
        <v>3</v>
      </c>
      <c r="AT23" s="206">
        <f t="shared" ca="1" si="42"/>
        <v>3</v>
      </c>
      <c r="AU23" s="205">
        <f t="shared" ca="1" si="42"/>
        <v>2</v>
      </c>
      <c r="AV23" s="206">
        <f t="shared" ca="1" si="42"/>
        <v>2</v>
      </c>
      <c r="AW23" s="205">
        <f t="shared" ca="1" si="42"/>
        <v>3</v>
      </c>
      <c r="AX23" s="206">
        <f t="shared" ca="1" si="42"/>
        <v>2</v>
      </c>
      <c r="AY23" s="205">
        <f t="shared" ca="1" si="42"/>
        <v>3</v>
      </c>
      <c r="AZ23" s="206">
        <f t="shared" ca="1" si="42"/>
        <v>4</v>
      </c>
      <c r="BA23" s="205">
        <f t="shared" ca="1" si="42"/>
        <v>5</v>
      </c>
      <c r="BB23" s="206">
        <f t="shared" ca="1" si="42"/>
        <v>4</v>
      </c>
      <c r="BC23" s="205">
        <f t="shared" ref="BC23" ca="1" si="46">BC40</f>
        <v>4</v>
      </c>
      <c r="BD23" s="206">
        <f t="shared" ca="1" si="43"/>
        <v>3</v>
      </c>
      <c r="BE23" s="205">
        <f t="shared" ca="1" si="43"/>
        <v>3</v>
      </c>
      <c r="BF23" s="206">
        <f t="shared" ca="1" si="43"/>
        <v>4</v>
      </c>
      <c r="BG23" s="184"/>
    </row>
    <row r="24" spans="1:71" s="127" customFormat="1" outlineLevel="1" x14ac:dyDescent="0.25">
      <c r="A24" s="62"/>
      <c r="B24" s="101"/>
      <c r="C24" s="459">
        <f ca="1">AVERAGE(C41:F41)</f>
        <v>4.25</v>
      </c>
      <c r="D24" s="460"/>
      <c r="E24" s="460"/>
      <c r="F24" s="461"/>
      <c r="G24" s="459">
        <f t="shared" ref="G24" ca="1" si="47">AVERAGE(G41:J41)</f>
        <v>3</v>
      </c>
      <c r="H24" s="460"/>
      <c r="I24" s="460"/>
      <c r="J24" s="461"/>
      <c r="K24" s="459">
        <f t="shared" ref="K24" ca="1" si="48">AVERAGE(K41:N41)</f>
        <v>3</v>
      </c>
      <c r="L24" s="460"/>
      <c r="M24" s="460"/>
      <c r="N24" s="461"/>
      <c r="O24" s="459">
        <f t="shared" ref="O24" ca="1" si="49">AVERAGE(O41:R41)</f>
        <v>8.25</v>
      </c>
      <c r="P24" s="460"/>
      <c r="Q24" s="460"/>
      <c r="R24" s="461"/>
      <c r="S24" s="459">
        <f t="shared" ref="S24" ca="1" si="50">AVERAGE(S41:V41)</f>
        <v>5.75</v>
      </c>
      <c r="T24" s="460"/>
      <c r="U24" s="460"/>
      <c r="V24" s="461"/>
      <c r="W24" s="459">
        <f t="shared" ref="W24" ca="1" si="51">AVERAGE(W41:Z41)</f>
        <v>4</v>
      </c>
      <c r="X24" s="460"/>
      <c r="Y24" s="460"/>
      <c r="Z24" s="461"/>
      <c r="AA24" s="459">
        <f t="shared" ref="AA24" ca="1" si="52">AVERAGE(AA41:AD41)</f>
        <v>3.75</v>
      </c>
      <c r="AB24" s="460"/>
      <c r="AC24" s="460"/>
      <c r="AD24" s="461"/>
      <c r="AE24" s="459">
        <f t="shared" ref="AE24" ca="1" si="53">AVERAGE(AE41:AH41)</f>
        <v>2.25</v>
      </c>
      <c r="AF24" s="460"/>
      <c r="AG24" s="460"/>
      <c r="AH24" s="461"/>
      <c r="AI24" s="459">
        <f t="shared" ref="AI24" ca="1" si="54">AVERAGE(AI41:AL41)</f>
        <v>4.5</v>
      </c>
      <c r="AJ24" s="460"/>
      <c r="AK24" s="460"/>
      <c r="AL24" s="461"/>
      <c r="AM24" s="459">
        <f t="shared" ref="AM24" ca="1" si="55">AVERAGE(AM41:AP41)</f>
        <v>5.5</v>
      </c>
      <c r="AN24" s="460"/>
      <c r="AO24" s="460"/>
      <c r="AP24" s="461"/>
      <c r="AQ24" s="459">
        <f t="shared" ref="AQ24" ca="1" si="56">AVERAGE(AQ41:AT41)</f>
        <v>3.5</v>
      </c>
      <c r="AR24" s="460"/>
      <c r="AS24" s="460"/>
      <c r="AT24" s="461"/>
      <c r="AU24" s="459">
        <f t="shared" ref="AU24" ca="1" si="57">AVERAGE(AU41:AX41)</f>
        <v>3.25</v>
      </c>
      <c r="AV24" s="460"/>
      <c r="AW24" s="460"/>
      <c r="AX24" s="461"/>
      <c r="AY24" s="459">
        <f t="shared" ref="AY24" ca="1" si="58">AVERAGE(AY41:BB41)</f>
        <v>3</v>
      </c>
      <c r="AZ24" s="460"/>
      <c r="BA24" s="460"/>
      <c r="BB24" s="461"/>
      <c r="BC24" s="459">
        <f t="shared" ref="BC24" ca="1" si="59">AVERAGE(BC41:BF41)</f>
        <v>5.25</v>
      </c>
      <c r="BD24" s="460"/>
      <c r="BE24" s="460"/>
      <c r="BF24" s="461"/>
      <c r="BG24" s="167"/>
    </row>
    <row r="25" spans="1:71" s="127" customFormat="1" outlineLevel="1" x14ac:dyDescent="0.25">
      <c r="A25" s="62"/>
      <c r="B25" s="101"/>
      <c r="C25" s="462"/>
      <c r="D25" s="463"/>
      <c r="E25" s="463"/>
      <c r="F25" s="464"/>
      <c r="G25" s="462"/>
      <c r="H25" s="463"/>
      <c r="I25" s="463"/>
      <c r="J25" s="464"/>
      <c r="K25" s="462"/>
      <c r="L25" s="463"/>
      <c r="M25" s="463"/>
      <c r="N25" s="464"/>
      <c r="O25" s="462"/>
      <c r="P25" s="463"/>
      <c r="Q25" s="463"/>
      <c r="R25" s="464"/>
      <c r="S25" s="462"/>
      <c r="T25" s="463"/>
      <c r="U25" s="463"/>
      <c r="V25" s="464"/>
      <c r="W25" s="462"/>
      <c r="X25" s="463"/>
      <c r="Y25" s="463"/>
      <c r="Z25" s="464"/>
      <c r="AA25" s="462"/>
      <c r="AB25" s="463"/>
      <c r="AC25" s="463"/>
      <c r="AD25" s="464"/>
      <c r="AE25" s="462"/>
      <c r="AF25" s="463"/>
      <c r="AG25" s="463"/>
      <c r="AH25" s="464"/>
      <c r="AI25" s="462"/>
      <c r="AJ25" s="463"/>
      <c r="AK25" s="463"/>
      <c r="AL25" s="464"/>
      <c r="AM25" s="462"/>
      <c r="AN25" s="463"/>
      <c r="AO25" s="463"/>
      <c r="AP25" s="464"/>
      <c r="AQ25" s="462"/>
      <c r="AR25" s="463"/>
      <c r="AS25" s="463"/>
      <c r="AT25" s="464"/>
      <c r="AU25" s="462"/>
      <c r="AV25" s="463"/>
      <c r="AW25" s="463"/>
      <c r="AX25" s="464"/>
      <c r="AY25" s="462"/>
      <c r="AZ25" s="463"/>
      <c r="BA25" s="463"/>
      <c r="BB25" s="464"/>
      <c r="BC25" s="462"/>
      <c r="BD25" s="463"/>
      <c r="BE25" s="463"/>
      <c r="BF25" s="464"/>
      <c r="BG25" s="167"/>
    </row>
    <row r="26" spans="1:71" s="127" customFormat="1" ht="105.75" customHeight="1" outlineLevel="1" x14ac:dyDescent="0.25">
      <c r="A26" s="62"/>
      <c r="B26" s="101"/>
      <c r="C26" s="465"/>
      <c r="D26" s="466"/>
      <c r="E26" s="466"/>
      <c r="F26" s="467"/>
      <c r="G26" s="465"/>
      <c r="H26" s="466"/>
      <c r="I26" s="466"/>
      <c r="J26" s="467"/>
      <c r="K26" s="465"/>
      <c r="L26" s="466"/>
      <c r="M26" s="466"/>
      <c r="N26" s="467"/>
      <c r="O26" s="465"/>
      <c r="P26" s="466"/>
      <c r="Q26" s="466"/>
      <c r="R26" s="467"/>
      <c r="S26" s="465"/>
      <c r="T26" s="466"/>
      <c r="U26" s="466"/>
      <c r="V26" s="467"/>
      <c r="W26" s="465"/>
      <c r="X26" s="466"/>
      <c r="Y26" s="466"/>
      <c r="Z26" s="467"/>
      <c r="AA26" s="465"/>
      <c r="AB26" s="466"/>
      <c r="AC26" s="466"/>
      <c r="AD26" s="467"/>
      <c r="AE26" s="465"/>
      <c r="AF26" s="466"/>
      <c r="AG26" s="466"/>
      <c r="AH26" s="467"/>
      <c r="AI26" s="465"/>
      <c r="AJ26" s="466"/>
      <c r="AK26" s="466"/>
      <c r="AL26" s="467"/>
      <c r="AM26" s="465"/>
      <c r="AN26" s="466"/>
      <c r="AO26" s="466"/>
      <c r="AP26" s="467"/>
      <c r="AQ26" s="465"/>
      <c r="AR26" s="466"/>
      <c r="AS26" s="466"/>
      <c r="AT26" s="467"/>
      <c r="AU26" s="465"/>
      <c r="AV26" s="466"/>
      <c r="AW26" s="466"/>
      <c r="AX26" s="467"/>
      <c r="AY26" s="465"/>
      <c r="AZ26" s="466"/>
      <c r="BA26" s="466"/>
      <c r="BB26" s="467"/>
      <c r="BC26" s="465"/>
      <c r="BD26" s="466"/>
      <c r="BE26" s="466"/>
      <c r="BF26" s="467"/>
      <c r="BG26" s="167"/>
    </row>
    <row r="27" spans="1:71" s="127" customFormat="1" outlineLevel="1" x14ac:dyDescent="0.25">
      <c r="A27" s="62"/>
      <c r="B27" s="101"/>
      <c r="BG27" s="167"/>
    </row>
    <row r="28" spans="1:71" s="127" customFormat="1" outlineLevel="1" x14ac:dyDescent="0.25">
      <c r="A28" s="62"/>
      <c r="B28" s="101"/>
      <c r="BG28" s="167"/>
    </row>
    <row r="29" spans="1:71" s="127" customFormat="1" outlineLevel="1" x14ac:dyDescent="0.25">
      <c r="A29" s="62"/>
      <c r="B29" s="101"/>
      <c r="BG29" s="167"/>
    </row>
    <row r="30" spans="1:71" s="127" customFormat="1" outlineLevel="1" x14ac:dyDescent="0.25">
      <c r="A30" s="62"/>
      <c r="B30" s="101"/>
      <c r="BG30" s="167"/>
    </row>
    <row r="31" spans="1:71" s="127" customFormat="1" outlineLevel="1" x14ac:dyDescent="0.25">
      <c r="A31" s="62"/>
      <c r="B31" s="101"/>
      <c r="BG31" s="167"/>
    </row>
    <row r="32" spans="1:71" s="127" customFormat="1" outlineLevel="1" x14ac:dyDescent="0.25">
      <c r="A32" s="62"/>
      <c r="B32" s="101"/>
      <c r="BG32" s="167"/>
    </row>
    <row r="33" spans="1:71" s="127" customFormat="1" outlineLevel="1" x14ac:dyDescent="0.25">
      <c r="A33" s="62"/>
      <c r="B33" s="101"/>
      <c r="BG33" s="167"/>
    </row>
    <row r="34" spans="1:71" s="127" customFormat="1" outlineLevel="1" x14ac:dyDescent="0.25">
      <c r="A34" s="62"/>
      <c r="B34" s="101"/>
      <c r="BG34" s="167"/>
    </row>
    <row r="35" spans="1:71" s="116" customFormat="1" x14ac:dyDescent="0.25">
      <c r="A35" s="172" t="s">
        <v>196</v>
      </c>
      <c r="B35" s="101"/>
      <c r="C35" s="115">
        <v>0</v>
      </c>
      <c r="D35" s="115">
        <v>6</v>
      </c>
      <c r="E35" s="115">
        <v>12</v>
      </c>
      <c r="F35" s="115">
        <v>18</v>
      </c>
      <c r="G35" s="115">
        <v>24</v>
      </c>
      <c r="BG35" s="164"/>
    </row>
    <row r="36" spans="1:71" s="116" customFormat="1" x14ac:dyDescent="0.25">
      <c r="A36" s="172" t="s">
        <v>197</v>
      </c>
      <c r="B36" s="101"/>
      <c r="BG36" s="164"/>
    </row>
    <row r="37" spans="1:71" s="117" customFormat="1" ht="15.75" x14ac:dyDescent="0.25">
      <c r="A37" s="101" t="s">
        <v>110</v>
      </c>
      <c r="B37" s="101"/>
      <c r="C37" s="174" t="str">
        <f ca="1">OFFSET(INDIRECT("'2sav'!M"&amp;C42),((COLUMN()-C43)*2)-2,0)</f>
        <v>ÙÙ</v>
      </c>
      <c r="D37" s="174" t="str">
        <f t="shared" ref="D37:F37" ca="1" si="60">OFFSET(INDIRECT("'2sav'!M"&amp;D42),((COLUMN()-D43)*2)-2,0)</f>
        <v>ÙÙ</v>
      </c>
      <c r="E37" s="174" t="str">
        <f t="shared" ca="1" si="60"/>
        <v>ÙÙ</v>
      </c>
      <c r="F37" s="174" t="str">
        <f t="shared" ca="1" si="60"/>
        <v>ÙÙ</v>
      </c>
      <c r="G37" s="174" t="str">
        <f ca="1">OFFSET(INDIRECT("'2sav'!M"&amp;G42),((COLUMN()-G43)*2)-2,0)</f>
        <v>Ù</v>
      </c>
      <c r="H37" s="174" t="str">
        <f t="shared" ref="H37:K37" ca="1" si="61">OFFSET(INDIRECT("'2sav'!M"&amp;H42),((COLUMN()-H43)*2)-2,0)</f>
        <v>Ö</v>
      </c>
      <c r="I37" s="174" t="str">
        <f t="shared" ca="1" si="61"/>
        <v>ÙÙ</v>
      </c>
      <c r="J37" s="174" t="str">
        <f t="shared" ca="1" si="61"/>
        <v>ÙÙ</v>
      </c>
      <c r="K37" s="174" t="str">
        <f t="shared" ca="1" si="61"/>
        <v>Ö</v>
      </c>
      <c r="L37" s="174" t="str">
        <f t="shared" ref="L37:BF37" ca="1" si="62">OFFSET(INDIRECT("'2sav'!M"&amp;L42),((COLUMN()-L43)*2)-2,0)</f>
        <v>ÙÙ</v>
      </c>
      <c r="M37" s="174" t="str">
        <f t="shared" ca="1" si="62"/>
        <v>ÙÙ</v>
      </c>
      <c r="N37" s="174" t="str">
        <f t="shared" ca="1" si="62"/>
        <v>ÙÙ</v>
      </c>
      <c r="O37" s="174" t="str">
        <f t="shared" ca="1" si="62"/>
        <v>ÙÙ</v>
      </c>
      <c r="P37" s="174" t="str">
        <f t="shared" ca="1" si="62"/>
        <v>ÙÙ</v>
      </c>
      <c r="Q37" s="174" t="str">
        <f t="shared" ca="1" si="62"/>
        <v>Ù</v>
      </c>
      <c r="R37" s="174" t="str">
        <f t="shared" ca="1" si="62"/>
        <v>ÙÙ</v>
      </c>
      <c r="S37" s="174" t="str">
        <f t="shared" ca="1" si="62"/>
        <v>ÙÙ</v>
      </c>
      <c r="T37" s="174" t="str">
        <f t="shared" ca="1" si="62"/>
        <v>ÙÙ</v>
      </c>
      <c r="U37" s="174" t="str">
        <f t="shared" ca="1" si="62"/>
        <v>ÙÙ</v>
      </c>
      <c r="V37" s="174" t="str">
        <f t="shared" ca="1" si="62"/>
        <v>ÙÙ</v>
      </c>
      <c r="W37" s="174" t="str">
        <f t="shared" ca="1" si="62"/>
        <v>ÙÙ</v>
      </c>
      <c r="X37" s="174" t="str">
        <f t="shared" ca="1" si="62"/>
        <v>ÙÙ</v>
      </c>
      <c r="Y37" s="174" t="str">
        <f t="shared" ca="1" si="62"/>
        <v>ÙÙ</v>
      </c>
      <c r="Z37" s="174" t="str">
        <f t="shared" ca="1" si="62"/>
        <v>ÙÙ</v>
      </c>
      <c r="AA37" s="174" t="str">
        <f t="shared" ca="1" si="62"/>
        <v>ÙÙ</v>
      </c>
      <c r="AB37" s="174" t="str">
        <f t="shared" ca="1" si="62"/>
        <v>ÙÙ</v>
      </c>
      <c r="AC37" s="174" t="str">
        <f t="shared" ca="1" si="62"/>
        <v>ÙÙ</v>
      </c>
      <c r="AD37" s="174" t="str">
        <f t="shared" ca="1" si="62"/>
        <v>ÙÙ</v>
      </c>
      <c r="AE37" s="174" t="str">
        <f t="shared" ca="1" si="62"/>
        <v>ÙÙ</v>
      </c>
      <c r="AF37" s="174" t="str">
        <f t="shared" ca="1" si="62"/>
        <v>ÙÙ</v>
      </c>
      <c r="AG37" s="174" t="str">
        <f t="shared" ca="1" si="62"/>
        <v>ÙÙ</v>
      </c>
      <c r="AH37" s="174" t="str">
        <f t="shared" ca="1" si="62"/>
        <v>ÙÙ</v>
      </c>
      <c r="AI37" s="174" t="str">
        <f t="shared" ca="1" si="62"/>
        <v>Ù</v>
      </c>
      <c r="AJ37" s="174" t="str">
        <f t="shared" ca="1" si="62"/>
        <v>ÙÙ</v>
      </c>
      <c r="AK37" s="174" t="str">
        <f t="shared" ca="1" si="62"/>
        <v>ÙÙ</v>
      </c>
      <c r="AL37" s="174" t="str">
        <f t="shared" ca="1" si="62"/>
        <v>Ù</v>
      </c>
      <c r="AM37" s="174" t="str">
        <f t="shared" ca="1" si="62"/>
        <v>Ö</v>
      </c>
      <c r="AN37" s="174" t="str">
        <f t="shared" ca="1" si="62"/>
        <v>Õ</v>
      </c>
      <c r="AO37" s="174" t="str">
        <f t="shared" ca="1" si="62"/>
        <v>Ù</v>
      </c>
      <c r="AP37" s="174" t="str">
        <f t="shared" ca="1" si="62"/>
        <v>ÙÙ</v>
      </c>
      <c r="AQ37" s="174" t="str">
        <f t="shared" ca="1" si="62"/>
        <v>Ù</v>
      </c>
      <c r="AR37" s="174" t="str">
        <f t="shared" ca="1" si="62"/>
        <v>Ö</v>
      </c>
      <c r="AS37" s="174" t="str">
        <f t="shared" ca="1" si="62"/>
        <v>Ù</v>
      </c>
      <c r="AT37" s="174" t="str">
        <f t="shared" ca="1" si="62"/>
        <v>Ù</v>
      </c>
      <c r="AU37" s="174" t="str">
        <f t="shared" ca="1" si="62"/>
        <v>ÙÙ</v>
      </c>
      <c r="AV37" s="174" t="str">
        <f t="shared" ca="1" si="62"/>
        <v>ÙÙ</v>
      </c>
      <c r="AW37" s="174" t="str">
        <f t="shared" ca="1" si="62"/>
        <v>Õ</v>
      </c>
      <c r="AX37" s="174" t="str">
        <f t="shared" ca="1" si="62"/>
        <v>Õ</v>
      </c>
      <c r="AY37" s="174" t="str">
        <f t="shared" ca="1" si="62"/>
        <v>Õ</v>
      </c>
      <c r="AZ37" s="174" t="str">
        <f t="shared" ca="1" si="62"/>
        <v>ÙÙ</v>
      </c>
      <c r="BA37" s="174" t="str">
        <f t="shared" ca="1" si="62"/>
        <v>ÙÙ</v>
      </c>
      <c r="BB37" s="174" t="str">
        <f t="shared" ca="1" si="62"/>
        <v>Ù</v>
      </c>
      <c r="BC37" s="174" t="str">
        <f t="shared" ca="1" si="62"/>
        <v>ÙÙ</v>
      </c>
      <c r="BD37" s="174" t="str">
        <f t="shared" ca="1" si="62"/>
        <v>ÙÙ</v>
      </c>
      <c r="BE37" s="174" t="str">
        <f t="shared" ca="1" si="62"/>
        <v>Ù</v>
      </c>
      <c r="BF37" s="174" t="str">
        <f t="shared" ca="1" si="62"/>
        <v>ÙÙ</v>
      </c>
      <c r="BG37" s="164"/>
      <c r="BH37" s="116"/>
      <c r="BI37" s="116"/>
      <c r="BJ37" s="116"/>
      <c r="BK37" s="116"/>
      <c r="BL37" s="116"/>
      <c r="BM37" s="116"/>
      <c r="BN37" s="116"/>
      <c r="BO37" s="116"/>
      <c r="BP37" s="116"/>
      <c r="BQ37" s="116"/>
      <c r="BR37" s="116"/>
      <c r="BS37" s="116"/>
    </row>
    <row r="38" spans="1:71" s="182" customFormat="1" ht="22.5" x14ac:dyDescent="0.25">
      <c r="A38" s="177" t="s">
        <v>111</v>
      </c>
      <c r="B38" s="178"/>
      <c r="C38" s="179" t="str">
        <f ca="1">OFFSET(INDIRECT("'2sav'!M"&amp;C42),((COLUMN()-C43)*2)-2,1)</f>
        <v xml:space="preserve"> </v>
      </c>
      <c r="D38" s="179" t="str">
        <f t="shared" ref="D38:F38" ca="1" si="63">OFFSET(INDIRECT("'2sav'!M"&amp;D42),((COLUMN()-D43)*2)-2,1)</f>
        <v xml:space="preserve"> </v>
      </c>
      <c r="E38" s="179" t="str">
        <f t="shared" ca="1" si="63"/>
        <v xml:space="preserve"> </v>
      </c>
      <c r="F38" s="179" t="str">
        <f t="shared" ca="1" si="63"/>
        <v xml:space="preserve"> </v>
      </c>
      <c r="G38" s="179" t="str">
        <f ca="1">OFFSET(INDIRECT("'2sav'!M"&amp;G42),((COLUMN()-G43)*2)-2,1)</f>
        <v xml:space="preserve"> </v>
      </c>
      <c r="H38" s="179" t="str">
        <f t="shared" ref="H38:K38" ca="1" si="64">OFFSET(INDIRECT("'2sav'!M"&amp;H42),((COLUMN()-H43)*2)-2,1)</f>
        <v xml:space="preserve"> </v>
      </c>
      <c r="I38" s="179" t="str">
        <f t="shared" ca="1" si="64"/>
        <v xml:space="preserve"> </v>
      </c>
      <c r="J38" s="179" t="str">
        <f t="shared" ca="1" si="64"/>
        <v xml:space="preserve"> </v>
      </c>
      <c r="K38" s="179" t="str">
        <f t="shared" ca="1" si="64"/>
        <v xml:space="preserve"> </v>
      </c>
      <c r="L38" s="179" t="str">
        <f t="shared" ref="L38:BF38" ca="1" si="65">OFFSET(INDIRECT("'2sav'!M"&amp;L42),((COLUMN()-L43)*2)-2,1)</f>
        <v xml:space="preserve"> </v>
      </c>
      <c r="M38" s="179" t="str">
        <f t="shared" ca="1" si="65"/>
        <v xml:space="preserve"> </v>
      </c>
      <c r="N38" s="179" t="str">
        <f t="shared" ca="1" si="65"/>
        <v>SS</v>
      </c>
      <c r="O38" s="179" t="str">
        <f t="shared" ca="1" si="65"/>
        <v>SS</v>
      </c>
      <c r="P38" s="179" t="str">
        <f t="shared" ca="1" si="65"/>
        <v>S</v>
      </c>
      <c r="Q38" s="179" t="str">
        <f t="shared" ca="1" si="65"/>
        <v>S</v>
      </c>
      <c r="R38" s="179" t="str">
        <f t="shared" ca="1" si="65"/>
        <v>S</v>
      </c>
      <c r="S38" s="179" t="str">
        <f t="shared" ca="1" si="65"/>
        <v>S</v>
      </c>
      <c r="T38" s="179" t="str">
        <f t="shared" ca="1" si="65"/>
        <v>S</v>
      </c>
      <c r="U38" s="179" t="str">
        <f t="shared" ca="1" si="65"/>
        <v>S</v>
      </c>
      <c r="V38" s="179" t="str">
        <f t="shared" ca="1" si="65"/>
        <v>S</v>
      </c>
      <c r="W38" s="179" t="str">
        <f t="shared" ca="1" si="65"/>
        <v>S</v>
      </c>
      <c r="X38" s="179" t="str">
        <f t="shared" ca="1" si="65"/>
        <v>S</v>
      </c>
      <c r="Y38" s="179" t="str">
        <f t="shared" ca="1" si="65"/>
        <v xml:space="preserve"> </v>
      </c>
      <c r="Z38" s="179" t="str">
        <f t="shared" ca="1" si="65"/>
        <v>S</v>
      </c>
      <c r="AA38" s="179" t="str">
        <f t="shared" ca="1" si="65"/>
        <v>S</v>
      </c>
      <c r="AB38" s="179" t="str">
        <f t="shared" ca="1" si="65"/>
        <v xml:space="preserve"> </v>
      </c>
      <c r="AC38" s="179" t="str">
        <f t="shared" ca="1" si="65"/>
        <v xml:space="preserve"> </v>
      </c>
      <c r="AD38" s="179" t="str">
        <f t="shared" ca="1" si="65"/>
        <v xml:space="preserve"> </v>
      </c>
      <c r="AE38" s="179" t="str">
        <f t="shared" ca="1" si="65"/>
        <v xml:space="preserve"> </v>
      </c>
      <c r="AF38" s="179" t="str">
        <f t="shared" ca="1" si="65"/>
        <v xml:space="preserve"> </v>
      </c>
      <c r="AG38" s="179" t="str">
        <f t="shared" ca="1" si="65"/>
        <v xml:space="preserve"> </v>
      </c>
      <c r="AH38" s="179" t="str">
        <f t="shared" ca="1" si="65"/>
        <v xml:space="preserve"> </v>
      </c>
      <c r="AI38" s="179" t="str">
        <f t="shared" ca="1" si="65"/>
        <v xml:space="preserve"> </v>
      </c>
      <c r="AJ38" s="179" t="str">
        <f t="shared" ca="1" si="65"/>
        <v xml:space="preserve"> </v>
      </c>
      <c r="AK38" s="179" t="str">
        <f t="shared" ca="1" si="65"/>
        <v xml:space="preserve"> </v>
      </c>
      <c r="AL38" s="179" t="str">
        <f t="shared" ca="1" si="65"/>
        <v xml:space="preserve"> </v>
      </c>
      <c r="AM38" s="179" t="str">
        <f t="shared" ca="1" si="65"/>
        <v xml:space="preserve"> </v>
      </c>
      <c r="AN38" s="179" t="str">
        <f t="shared" ca="1" si="65"/>
        <v xml:space="preserve"> </v>
      </c>
      <c r="AO38" s="179" t="str">
        <f t="shared" ca="1" si="65"/>
        <v xml:space="preserve"> </v>
      </c>
      <c r="AP38" s="179" t="str">
        <f t="shared" ca="1" si="65"/>
        <v xml:space="preserve"> </v>
      </c>
      <c r="AQ38" s="179" t="str">
        <f t="shared" ca="1" si="65"/>
        <v xml:space="preserve"> </v>
      </c>
      <c r="AR38" s="179" t="str">
        <f t="shared" ca="1" si="65"/>
        <v xml:space="preserve"> </v>
      </c>
      <c r="AS38" s="179" t="str">
        <f t="shared" ca="1" si="65"/>
        <v xml:space="preserve"> </v>
      </c>
      <c r="AT38" s="179" t="str">
        <f t="shared" ca="1" si="65"/>
        <v xml:space="preserve"> </v>
      </c>
      <c r="AU38" s="179" t="str">
        <f t="shared" ca="1" si="65"/>
        <v xml:space="preserve"> </v>
      </c>
      <c r="AV38" s="179" t="str">
        <f t="shared" ca="1" si="65"/>
        <v>S</v>
      </c>
      <c r="AW38" s="179" t="str">
        <f t="shared" ca="1" si="65"/>
        <v xml:space="preserve"> </v>
      </c>
      <c r="AX38" s="179" t="str">
        <f t="shared" ca="1" si="65"/>
        <v xml:space="preserve"> </v>
      </c>
      <c r="AY38" s="179" t="str">
        <f t="shared" ca="1" si="65"/>
        <v xml:space="preserve"> </v>
      </c>
      <c r="AZ38" s="179" t="str">
        <f t="shared" ca="1" si="65"/>
        <v xml:space="preserve"> </v>
      </c>
      <c r="BA38" s="179" t="str">
        <f t="shared" ca="1" si="65"/>
        <v xml:space="preserve"> </v>
      </c>
      <c r="BB38" s="179" t="str">
        <f t="shared" ca="1" si="65"/>
        <v xml:space="preserve"> </v>
      </c>
      <c r="BC38" s="179" t="str">
        <f t="shared" ca="1" si="65"/>
        <v xml:space="preserve"> </v>
      </c>
      <c r="BD38" s="179" t="str">
        <f t="shared" ca="1" si="65"/>
        <v xml:space="preserve"> </v>
      </c>
      <c r="BE38" s="179" t="str">
        <f t="shared" ca="1" si="65"/>
        <v xml:space="preserve"> </v>
      </c>
      <c r="BF38" s="179" t="str">
        <f t="shared" ca="1" si="65"/>
        <v xml:space="preserve"> </v>
      </c>
      <c r="BG38" s="181"/>
      <c r="BH38" s="180"/>
      <c r="BI38" s="180"/>
      <c r="BJ38" s="180"/>
      <c r="BK38" s="180"/>
      <c r="BL38" s="180"/>
      <c r="BM38" s="180"/>
      <c r="BN38" s="180"/>
      <c r="BO38" s="180"/>
      <c r="BP38" s="180"/>
      <c r="BQ38" s="180"/>
      <c r="BR38" s="180"/>
      <c r="BS38" s="180"/>
    </row>
    <row r="39" spans="1:71" s="117" customFormat="1" x14ac:dyDescent="0.25">
      <c r="A39" s="101" t="s">
        <v>124</v>
      </c>
      <c r="B39" s="101"/>
      <c r="C39" s="61" t="str">
        <f ca="1">OFFSET(INDIRECT("'2sav'!M"&amp;C42-1),((COLUMN()-C43)*2)-2,2)</f>
        <v>Ý</v>
      </c>
      <c r="D39" s="61" t="str">
        <f t="shared" ref="D39:F39" ca="1" si="66">OFFSET(INDIRECT("'2sav'!M"&amp;D42-1),((COLUMN()-D43)*2)-2,2)</f>
        <v>Ù</v>
      </c>
      <c r="E39" s="61" t="str">
        <f t="shared" ca="1" si="66"/>
        <v>Ù</v>
      </c>
      <c r="F39" s="61" t="str">
        <f t="shared" ca="1" si="66"/>
        <v>Ù</v>
      </c>
      <c r="G39" s="61" t="str">
        <f ca="1">OFFSET(INDIRECT("'2sav'!M"&amp;G42-1),((COLUMN()-G43)*2)-2,2)</f>
        <v>Ù</v>
      </c>
      <c r="H39" s="61" t="str">
        <f t="shared" ref="H39:K39" ca="1" si="67">OFFSET(INDIRECT("'2sav'!M"&amp;H42-1),((COLUMN()-H43)*2)-2,2)</f>
        <v>Ù</v>
      </c>
      <c r="I39" s="61" t="str">
        <f t="shared" ca="1" si="67"/>
        <v>Ý</v>
      </c>
      <c r="J39" s="61" t="str">
        <f t="shared" ca="1" si="67"/>
        <v>Ý</v>
      </c>
      <c r="K39" s="61" t="str">
        <f t="shared" ca="1" si="67"/>
        <v>Ý</v>
      </c>
      <c r="L39" s="61" t="str">
        <f t="shared" ref="L39:BF39" ca="1" si="68">OFFSET(INDIRECT("'2sav'!M"&amp;L42-1),((COLUMN()-L43)*2)-2,2)</f>
        <v>Ý</v>
      </c>
      <c r="M39" s="61" t="str">
        <f t="shared" ca="1" si="68"/>
        <v>Û</v>
      </c>
      <c r="N39" s="61" t="str">
        <f t="shared" ca="1" si="68"/>
        <v>Ý</v>
      </c>
      <c r="O39" s="61" t="str">
        <f t="shared" ca="1" si="68"/>
        <v>Û</v>
      </c>
      <c r="P39" s="61" t="str">
        <f t="shared" ca="1" si="68"/>
        <v>Ú</v>
      </c>
      <c r="Q39" s="61" t="str">
        <f t="shared" ca="1" si="68"/>
        <v>Ú</v>
      </c>
      <c r="R39" s="61" t="str">
        <f t="shared" ca="1" si="68"/>
        <v>Ú</v>
      </c>
      <c r="S39" s="61" t="str">
        <f t="shared" ca="1" si="68"/>
        <v>Ú</v>
      </c>
      <c r="T39" s="61" t="str">
        <f t="shared" ca="1" si="68"/>
        <v>Ú</v>
      </c>
      <c r="U39" s="61" t="str">
        <f t="shared" ca="1" si="68"/>
        <v>à</v>
      </c>
      <c r="V39" s="61" t="str">
        <f t="shared" ca="1" si="68"/>
        <v>ß</v>
      </c>
      <c r="W39" s="61" t="str">
        <f t="shared" ca="1" si="68"/>
        <v>Ü</v>
      </c>
      <c r="X39" s="61" t="str">
        <f t="shared" ca="1" si="68"/>
        <v>Ù</v>
      </c>
      <c r="Y39" s="61" t="str">
        <f t="shared" ca="1" si="68"/>
        <v>Û</v>
      </c>
      <c r="Z39" s="61" t="str">
        <f t="shared" ca="1" si="68"/>
        <v>Ý</v>
      </c>
      <c r="AA39" s="61" t="str">
        <f t="shared" ca="1" si="68"/>
        <v>Ý</v>
      </c>
      <c r="AB39" s="61" t="str">
        <f t="shared" ca="1" si="68"/>
        <v>Ù</v>
      </c>
      <c r="AC39" s="61" t="str">
        <f t="shared" ca="1" si="68"/>
        <v>Ù</v>
      </c>
      <c r="AD39" s="61" t="str">
        <f t="shared" ca="1" si="68"/>
        <v>Ù</v>
      </c>
      <c r="AE39" s="61" t="str">
        <f t="shared" ca="1" si="68"/>
        <v>Ù</v>
      </c>
      <c r="AF39" s="61" t="str">
        <f t="shared" ca="1" si="68"/>
        <v>Ù</v>
      </c>
      <c r="AG39" s="61" t="str">
        <f t="shared" ca="1" si="68"/>
        <v>­</v>
      </c>
      <c r="AH39" s="61" t="str">
        <f t="shared" ca="1" si="68"/>
        <v>à</v>
      </c>
      <c r="AI39" s="61" t="str">
        <f t="shared" ca="1" si="68"/>
        <v>Ú</v>
      </c>
      <c r="AJ39" s="61" t="str">
        <f t="shared" ca="1" si="68"/>
        <v>Þ</v>
      </c>
      <c r="AK39" s="61" t="str">
        <f t="shared" ca="1" si="68"/>
        <v>Ú</v>
      </c>
      <c r="AL39" s="61" t="str">
        <f t="shared" ca="1" si="68"/>
        <v>Ú</v>
      </c>
      <c r="AM39" s="61" t="str">
        <f t="shared" ca="1" si="68"/>
        <v>Ú</v>
      </c>
      <c r="AN39" s="61" t="str">
        <f t="shared" ca="1" si="68"/>
        <v>Ú</v>
      </c>
      <c r="AO39" s="61" t="str">
        <f t="shared" ca="1" si="68"/>
        <v>Ú</v>
      </c>
      <c r="AP39" s="61" t="str">
        <f t="shared" ca="1" si="68"/>
        <v>Þ</v>
      </c>
      <c r="AQ39" s="61" t="str">
        <f t="shared" ca="1" si="68"/>
        <v>Þ</v>
      </c>
      <c r="AR39" s="61" t="str">
        <f t="shared" ca="1" si="68"/>
        <v>Þ</v>
      </c>
      <c r="AS39" s="61" t="str">
        <f t="shared" ca="1" si="68"/>
        <v>Ú</v>
      </c>
      <c r="AT39" s="61" t="str">
        <f t="shared" ca="1" si="68"/>
        <v>Ú</v>
      </c>
      <c r="AU39" s="61" t="str">
        <f t="shared" ca="1" si="68"/>
        <v>Ú</v>
      </c>
      <c r="AV39" s="61" t="str">
        <f t="shared" ca="1" si="68"/>
        <v>Ú</v>
      </c>
      <c r="AW39" s="61" t="str">
        <f t="shared" ca="1" si="68"/>
        <v>Þ</v>
      </c>
      <c r="AX39" s="61" t="str">
        <f t="shared" ca="1" si="68"/>
        <v>Þ</v>
      </c>
      <c r="AY39" s="61" t="str">
        <f t="shared" ca="1" si="68"/>
        <v>Þ</v>
      </c>
      <c r="AZ39" s="61" t="str">
        <f t="shared" ca="1" si="68"/>
        <v>Þ</v>
      </c>
      <c r="BA39" s="61" t="str">
        <f t="shared" ca="1" si="68"/>
        <v>Þ</v>
      </c>
      <c r="BB39" s="61" t="str">
        <f t="shared" ca="1" si="68"/>
        <v>Þ</v>
      </c>
      <c r="BC39" s="61" t="str">
        <f t="shared" ca="1" si="68"/>
        <v>Þ</v>
      </c>
      <c r="BD39" s="61" t="str">
        <f t="shared" ca="1" si="68"/>
        <v>Þ</v>
      </c>
      <c r="BE39" s="61" t="str">
        <f t="shared" ca="1" si="68"/>
        <v>Þ</v>
      </c>
      <c r="BF39" s="61" t="str">
        <f t="shared" ca="1" si="68"/>
        <v>Þ</v>
      </c>
      <c r="BG39" s="164"/>
      <c r="BH39" s="116"/>
      <c r="BI39" s="116"/>
      <c r="BJ39" s="116"/>
      <c r="BK39" s="116"/>
      <c r="BL39" s="116"/>
      <c r="BM39" s="116"/>
      <c r="BN39" s="116"/>
      <c r="BO39" s="116"/>
      <c r="BP39" s="116"/>
      <c r="BQ39" s="116"/>
      <c r="BR39" s="116"/>
      <c r="BS39" s="116"/>
    </row>
    <row r="40" spans="1:71" s="117" customFormat="1" x14ac:dyDescent="0.25">
      <c r="A40" s="101" t="s">
        <v>161</v>
      </c>
      <c r="B40" s="101"/>
      <c r="C40" s="116">
        <f ca="1">OFFSET(INDIRECT("'2sav'!M"&amp;C42),((COLUMN()-C43)*2)-2,2)</f>
        <v>3</v>
      </c>
      <c r="D40" s="116">
        <f t="shared" ref="D40:F40" ca="1" si="69">OFFSET(INDIRECT("'2sav'!M"&amp;D42),((COLUMN()-D43)*2)-2,2)</f>
        <v>4</v>
      </c>
      <c r="E40" s="116">
        <f t="shared" ca="1" si="69"/>
        <v>5</v>
      </c>
      <c r="F40" s="116">
        <f t="shared" ca="1" si="69"/>
        <v>5</v>
      </c>
      <c r="G40" s="116">
        <f ca="1">OFFSET(INDIRECT("'2sav'!M"&amp;G42),((COLUMN()-G43)*2)-2,2)</f>
        <v>4</v>
      </c>
      <c r="H40" s="116">
        <f t="shared" ref="H40:K40" ca="1" si="70">OFFSET(INDIRECT("'2sav'!M"&amp;H42),((COLUMN()-H43)*2)-2,2)</f>
        <v>3</v>
      </c>
      <c r="I40" s="116">
        <f t="shared" ca="1" si="70"/>
        <v>4</v>
      </c>
      <c r="J40" s="116">
        <f t="shared" ca="1" si="70"/>
        <v>2</v>
      </c>
      <c r="K40" s="116">
        <f t="shared" ca="1" si="70"/>
        <v>4</v>
      </c>
      <c r="L40" s="116">
        <f t="shared" ref="L40:BF40" ca="1" si="71">OFFSET(INDIRECT("'2sav'!M"&amp;L42),((COLUMN()-L43)*2)-2,2)</f>
        <v>6</v>
      </c>
      <c r="M40" s="116">
        <f t="shared" ca="1" si="71"/>
        <v>8</v>
      </c>
      <c r="N40" s="116">
        <f t="shared" ca="1" si="71"/>
        <v>6</v>
      </c>
      <c r="O40" s="116">
        <f t="shared" ca="1" si="71"/>
        <v>7</v>
      </c>
      <c r="P40" s="116">
        <f t="shared" ca="1" si="71"/>
        <v>6</v>
      </c>
      <c r="Q40" s="116">
        <f t="shared" ca="1" si="71"/>
        <v>7</v>
      </c>
      <c r="R40" s="116">
        <f t="shared" ca="1" si="71"/>
        <v>6</v>
      </c>
      <c r="S40" s="116">
        <f t="shared" ca="1" si="71"/>
        <v>5</v>
      </c>
      <c r="T40" s="116">
        <f t="shared" ca="1" si="71"/>
        <v>4</v>
      </c>
      <c r="U40" s="116">
        <f t="shared" ca="1" si="71"/>
        <v>3</v>
      </c>
      <c r="V40" s="116">
        <f t="shared" ca="1" si="71"/>
        <v>1</v>
      </c>
      <c r="W40" s="116">
        <f t="shared" ca="1" si="71"/>
        <v>1</v>
      </c>
      <c r="X40" s="116">
        <f t="shared" ca="1" si="71"/>
        <v>1</v>
      </c>
      <c r="Y40" s="116">
        <f t="shared" ca="1" si="71"/>
        <v>2</v>
      </c>
      <c r="Z40" s="116">
        <f t="shared" ca="1" si="71"/>
        <v>4</v>
      </c>
      <c r="AA40" s="116">
        <f t="shared" ca="1" si="71"/>
        <v>4</v>
      </c>
      <c r="AB40" s="116">
        <f t="shared" ca="1" si="71"/>
        <v>4</v>
      </c>
      <c r="AC40" s="116">
        <f t="shared" ca="1" si="71"/>
        <v>4</v>
      </c>
      <c r="AD40" s="116">
        <f t="shared" ca="1" si="71"/>
        <v>4</v>
      </c>
      <c r="AE40" s="116">
        <f t="shared" ca="1" si="71"/>
        <v>3</v>
      </c>
      <c r="AF40" s="116">
        <f t="shared" ca="1" si="71"/>
        <v>2</v>
      </c>
      <c r="AG40" s="116" t="str">
        <f t="shared" ca="1" si="71"/>
        <v>štilis</v>
      </c>
      <c r="AH40" s="116">
        <f t="shared" ca="1" si="71"/>
        <v>1</v>
      </c>
      <c r="AI40" s="116">
        <f t="shared" ca="1" si="71"/>
        <v>2</v>
      </c>
      <c r="AJ40" s="116">
        <f t="shared" ca="1" si="71"/>
        <v>3</v>
      </c>
      <c r="AK40" s="116">
        <f t="shared" ca="1" si="71"/>
        <v>6</v>
      </c>
      <c r="AL40" s="116">
        <f t="shared" ca="1" si="71"/>
        <v>5</v>
      </c>
      <c r="AM40" s="116">
        <f t="shared" ca="1" si="71"/>
        <v>3</v>
      </c>
      <c r="AN40" s="116">
        <f t="shared" ca="1" si="71"/>
        <v>2</v>
      </c>
      <c r="AO40" s="116">
        <f t="shared" ca="1" si="71"/>
        <v>3</v>
      </c>
      <c r="AP40" s="116">
        <f t="shared" ca="1" si="71"/>
        <v>2</v>
      </c>
      <c r="AQ40" s="116">
        <f t="shared" ca="1" si="71"/>
        <v>2</v>
      </c>
      <c r="AR40" s="116">
        <f t="shared" ca="1" si="71"/>
        <v>2</v>
      </c>
      <c r="AS40" s="116">
        <f t="shared" ca="1" si="71"/>
        <v>3</v>
      </c>
      <c r="AT40" s="116">
        <f t="shared" ca="1" si="71"/>
        <v>3</v>
      </c>
      <c r="AU40" s="116">
        <f t="shared" ca="1" si="71"/>
        <v>2</v>
      </c>
      <c r="AV40" s="116">
        <f t="shared" ca="1" si="71"/>
        <v>2</v>
      </c>
      <c r="AW40" s="116">
        <f t="shared" ca="1" si="71"/>
        <v>3</v>
      </c>
      <c r="AX40" s="116">
        <f t="shared" ca="1" si="71"/>
        <v>2</v>
      </c>
      <c r="AY40" s="116">
        <f t="shared" ca="1" si="71"/>
        <v>3</v>
      </c>
      <c r="AZ40" s="116">
        <f t="shared" ca="1" si="71"/>
        <v>4</v>
      </c>
      <c r="BA40" s="116">
        <f t="shared" ca="1" si="71"/>
        <v>5</v>
      </c>
      <c r="BB40" s="116">
        <f t="shared" ca="1" si="71"/>
        <v>4</v>
      </c>
      <c r="BC40" s="116">
        <f t="shared" ca="1" si="71"/>
        <v>4</v>
      </c>
      <c r="BD40" s="116">
        <f t="shared" ca="1" si="71"/>
        <v>3</v>
      </c>
      <c r="BE40" s="116">
        <f t="shared" ca="1" si="71"/>
        <v>3</v>
      </c>
      <c r="BF40" s="116">
        <f t="shared" ca="1" si="71"/>
        <v>4</v>
      </c>
      <c r="BG40" s="164"/>
      <c r="BH40" s="116"/>
      <c r="BI40" s="116"/>
      <c r="BJ40" s="116"/>
      <c r="BK40" s="116"/>
      <c r="BL40" s="116"/>
      <c r="BM40" s="116"/>
      <c r="BN40" s="116"/>
      <c r="BO40" s="116"/>
      <c r="BP40" s="116"/>
      <c r="BQ40" s="116"/>
      <c r="BR40" s="116"/>
      <c r="BS40" s="116"/>
    </row>
    <row r="41" spans="1:71" s="117" customFormat="1" x14ac:dyDescent="0.25">
      <c r="A41" s="101" t="s">
        <v>105</v>
      </c>
      <c r="B41" s="101"/>
      <c r="C41" s="116">
        <f ca="1">OFFSET(INDIRECT("'2sav'!M"&amp;C42),((COLUMN()-C43)*2)-2,3)</f>
        <v>2</v>
      </c>
      <c r="D41" s="116">
        <f t="shared" ref="D41" ca="1" si="72">OFFSET(INDIRECT("'2sav'!M"&amp;D42),((COLUMN()-D43)*2)-2,3)</f>
        <v>4</v>
      </c>
      <c r="E41" s="116">
        <f t="shared" ref="E41" ca="1" si="73">OFFSET(INDIRECT("'2sav'!M"&amp;E42),((COLUMN()-E43)*2)-2,3)</f>
        <v>6</v>
      </c>
      <c r="F41" s="116">
        <f t="shared" ref="F41" ca="1" si="74">OFFSET(INDIRECT("'2sav'!M"&amp;F42),((COLUMN()-F43)*2)-2,3)</f>
        <v>5</v>
      </c>
      <c r="G41" s="116">
        <f ca="1">OFFSET(INDIRECT("'2sav'!M"&amp;G42),((COLUMN()-G43)*2)-2,3)</f>
        <v>3</v>
      </c>
      <c r="H41" s="116">
        <f t="shared" ref="H41:K41" ca="1" si="75">OFFSET(INDIRECT("'2sav'!M"&amp;H42),((COLUMN()-H43)*2)-2,3)</f>
        <v>1</v>
      </c>
      <c r="I41" s="116">
        <f t="shared" ca="1" si="75"/>
        <v>5</v>
      </c>
      <c r="J41" s="116">
        <f t="shared" ca="1" si="75"/>
        <v>3</v>
      </c>
      <c r="K41" s="116">
        <f t="shared" ca="1" si="75"/>
        <v>2</v>
      </c>
      <c r="L41" s="116">
        <f t="shared" ref="L41" ca="1" si="76">OFFSET(INDIRECT("'2sav'!M"&amp;L42),((COLUMN()-L43)*2)-2,3)</f>
        <v>2</v>
      </c>
      <c r="M41" s="116">
        <f t="shared" ref="M41" ca="1" si="77">OFFSET(INDIRECT("'2sav'!M"&amp;M42),((COLUMN()-M43)*2)-2,3)</f>
        <v>5</v>
      </c>
      <c r="N41" s="116">
        <f t="shared" ref="N41:O41" ca="1" si="78">OFFSET(INDIRECT("'2sav'!M"&amp;N42),((COLUMN()-N43)*2)-2,3)</f>
        <v>3</v>
      </c>
      <c r="O41" s="116">
        <f t="shared" ca="1" si="78"/>
        <v>5</v>
      </c>
      <c r="P41" s="116">
        <f t="shared" ref="P41" ca="1" si="79">OFFSET(INDIRECT("'2sav'!M"&amp;P42),((COLUMN()-P43)*2)-2,3)</f>
        <v>9</v>
      </c>
      <c r="Q41" s="116">
        <f t="shared" ref="Q41" ca="1" si="80">OFFSET(INDIRECT("'2sav'!M"&amp;Q42),((COLUMN()-Q43)*2)-2,3)</f>
        <v>11</v>
      </c>
      <c r="R41" s="116">
        <f t="shared" ref="R41:S41" ca="1" si="81">OFFSET(INDIRECT("'2sav'!M"&amp;R42),((COLUMN()-R43)*2)-2,3)</f>
        <v>8</v>
      </c>
      <c r="S41" s="116">
        <f t="shared" ca="1" si="81"/>
        <v>7</v>
      </c>
      <c r="T41" s="116">
        <f t="shared" ref="T41" ca="1" si="82">OFFSET(INDIRECT("'2sav'!M"&amp;T42),((COLUMN()-T43)*2)-2,3)</f>
        <v>6</v>
      </c>
      <c r="U41" s="116">
        <f t="shared" ref="U41" ca="1" si="83">OFFSET(INDIRECT("'2sav'!M"&amp;U42),((COLUMN()-U43)*2)-2,3)</f>
        <v>6</v>
      </c>
      <c r="V41" s="116">
        <f t="shared" ref="V41:W41" ca="1" si="84">OFFSET(INDIRECT("'2sav'!M"&amp;V42),((COLUMN()-V43)*2)-2,3)</f>
        <v>4</v>
      </c>
      <c r="W41" s="116">
        <f t="shared" ca="1" si="84"/>
        <v>3</v>
      </c>
      <c r="X41" s="116">
        <f t="shared" ref="X41" ca="1" si="85">OFFSET(INDIRECT("'2sav'!M"&amp;X42),((COLUMN()-X43)*2)-2,3)</f>
        <v>3</v>
      </c>
      <c r="Y41" s="116">
        <f t="shared" ref="Y41" ca="1" si="86">OFFSET(INDIRECT("'2sav'!M"&amp;Y42),((COLUMN()-Y43)*2)-2,3)</f>
        <v>6</v>
      </c>
      <c r="Z41" s="116">
        <f t="shared" ref="Z41:AA41" ca="1" si="87">OFFSET(INDIRECT("'2sav'!M"&amp;Z42),((COLUMN()-Z43)*2)-2,3)</f>
        <v>4</v>
      </c>
      <c r="AA41" s="116">
        <f t="shared" ca="1" si="87"/>
        <v>4</v>
      </c>
      <c r="AB41" s="116">
        <f t="shared" ref="AB41" ca="1" si="88">OFFSET(INDIRECT("'2sav'!M"&amp;AB42),((COLUMN()-AB43)*2)-2,3)</f>
        <v>3</v>
      </c>
      <c r="AC41" s="116">
        <f t="shared" ref="AC41" ca="1" si="89">OFFSET(INDIRECT("'2sav'!M"&amp;AC42),((COLUMN()-AC43)*2)-2,3)</f>
        <v>5</v>
      </c>
      <c r="AD41" s="116">
        <f t="shared" ref="AD41:AE41" ca="1" si="90">OFFSET(INDIRECT("'2sav'!M"&amp;AD42),((COLUMN()-AD43)*2)-2,3)</f>
        <v>3</v>
      </c>
      <c r="AE41" s="116">
        <f t="shared" ca="1" si="90"/>
        <v>2</v>
      </c>
      <c r="AF41" s="116">
        <f t="shared" ref="AF41" ca="1" si="91">OFFSET(INDIRECT("'2sav'!M"&amp;AF42),((COLUMN()-AF43)*2)-2,3)</f>
        <v>1</v>
      </c>
      <c r="AG41" s="116">
        <f t="shared" ref="AG41" ca="1" si="92">OFFSET(INDIRECT("'2sav'!M"&amp;AG42),((COLUMN()-AG43)*2)-2,3)</f>
        <v>3</v>
      </c>
      <c r="AH41" s="116">
        <f t="shared" ref="AH41:AI41" ca="1" si="93">OFFSET(INDIRECT("'2sav'!M"&amp;AH42),((COLUMN()-AH43)*2)-2,3)</f>
        <v>3</v>
      </c>
      <c r="AI41" s="116">
        <f t="shared" ca="1" si="93"/>
        <v>2</v>
      </c>
      <c r="AJ41" s="116">
        <f t="shared" ref="AJ41" ca="1" si="94">OFFSET(INDIRECT("'2sav'!M"&amp;AJ42),((COLUMN()-AJ43)*2)-2,3)</f>
        <v>1</v>
      </c>
      <c r="AK41" s="116">
        <f t="shared" ref="AK41" ca="1" si="95">OFFSET(INDIRECT("'2sav'!M"&amp;AK42),((COLUMN()-AK43)*2)-2,3)</f>
        <v>8</v>
      </c>
      <c r="AL41" s="116">
        <f t="shared" ref="AL41:AM41" ca="1" si="96">OFFSET(INDIRECT("'2sav'!M"&amp;AL42),((COLUMN()-AL43)*2)-2,3)</f>
        <v>7</v>
      </c>
      <c r="AM41" s="116">
        <f t="shared" ca="1" si="96"/>
        <v>5</v>
      </c>
      <c r="AN41" s="116">
        <f t="shared" ref="AN41" ca="1" si="97">OFFSET(INDIRECT("'2sav'!M"&amp;AN42),((COLUMN()-AN43)*2)-2,3)</f>
        <v>3</v>
      </c>
      <c r="AO41" s="116">
        <f t="shared" ref="AO41" ca="1" si="98">OFFSET(INDIRECT("'2sav'!M"&amp;AO42),((COLUMN()-AO43)*2)-2,3)</f>
        <v>9</v>
      </c>
      <c r="AP41" s="116">
        <f t="shared" ref="AP41:AQ41" ca="1" si="99">OFFSET(INDIRECT("'2sav'!M"&amp;AP42),((COLUMN()-AP43)*2)-2,3)</f>
        <v>5</v>
      </c>
      <c r="AQ41" s="116">
        <f t="shared" ca="1" si="99"/>
        <v>3</v>
      </c>
      <c r="AR41" s="116">
        <f t="shared" ref="AR41" ca="1" si="100">OFFSET(INDIRECT("'2sav'!M"&amp;AR42),((COLUMN()-AR43)*2)-2,3)</f>
        <v>1</v>
      </c>
      <c r="AS41" s="116">
        <f t="shared" ref="AS41" ca="1" si="101">OFFSET(INDIRECT("'2sav'!M"&amp;AS42),((COLUMN()-AS43)*2)-2,3)</f>
        <v>6</v>
      </c>
      <c r="AT41" s="116">
        <f t="shared" ref="AT41:AU41" ca="1" si="102">OFFSET(INDIRECT("'2sav'!M"&amp;AT42),((COLUMN()-AT43)*2)-2,3)</f>
        <v>4</v>
      </c>
      <c r="AU41" s="116">
        <f t="shared" ca="1" si="102"/>
        <v>2</v>
      </c>
      <c r="AV41" s="116">
        <f t="shared" ref="AV41" ca="1" si="103">OFFSET(INDIRECT("'2sav'!M"&amp;AV42),((COLUMN()-AV43)*2)-2,3)</f>
        <v>3</v>
      </c>
      <c r="AW41" s="116">
        <f t="shared" ref="AW41" ca="1" si="104">OFFSET(INDIRECT("'2sav'!M"&amp;AW42),((COLUMN()-AW43)*2)-2,3)</f>
        <v>7</v>
      </c>
      <c r="AX41" s="116">
        <f t="shared" ref="AX41:AY41" ca="1" si="105">OFFSET(INDIRECT("'2sav'!M"&amp;AX42),((COLUMN()-AX43)*2)-2,3)</f>
        <v>1</v>
      </c>
      <c r="AY41" s="116">
        <f t="shared" ca="1" si="105"/>
        <v>0</v>
      </c>
      <c r="AZ41" s="116">
        <f t="shared" ref="AZ41" ca="1" si="106">OFFSET(INDIRECT("'2sav'!M"&amp;AZ42),((COLUMN()-AZ43)*2)-2,3)</f>
        <v>1</v>
      </c>
      <c r="BA41" s="116">
        <f t="shared" ref="BA41" ca="1" si="107">OFFSET(INDIRECT("'2sav'!M"&amp;BA42),((COLUMN()-BA43)*2)-2,3)</f>
        <v>7</v>
      </c>
      <c r="BB41" s="116">
        <f t="shared" ref="BB41:BC41" ca="1" si="108">OFFSET(INDIRECT("'2sav'!M"&amp;BB42),((COLUMN()-BB43)*2)-2,3)</f>
        <v>4</v>
      </c>
      <c r="BC41" s="116">
        <f t="shared" ca="1" si="108"/>
        <v>3</v>
      </c>
      <c r="BD41" s="116">
        <f t="shared" ref="BD41" ca="1" si="109">OFFSET(INDIRECT("'2sav'!M"&amp;BD42),((COLUMN()-BD43)*2)-2,3)</f>
        <v>3</v>
      </c>
      <c r="BE41" s="116">
        <f t="shared" ref="BE41" ca="1" si="110">OFFSET(INDIRECT("'2sav'!M"&amp;BE42),((COLUMN()-BE43)*2)-2,3)</f>
        <v>8</v>
      </c>
      <c r="BF41" s="116">
        <f t="shared" ref="BF41" ca="1" si="111">OFFSET(INDIRECT("'2sav'!M"&amp;BF42),((COLUMN()-BF43)*2)-2,3)</f>
        <v>7</v>
      </c>
      <c r="BG41" s="164"/>
      <c r="BH41" s="116"/>
      <c r="BI41" s="116"/>
      <c r="BJ41" s="116"/>
      <c r="BK41" s="116"/>
      <c r="BL41" s="116"/>
      <c r="BM41" s="116"/>
      <c r="BN41" s="116"/>
      <c r="BO41" s="116"/>
      <c r="BP41" s="116"/>
      <c r="BQ41" s="116"/>
      <c r="BR41" s="116"/>
      <c r="BS41" s="116"/>
    </row>
    <row r="42" spans="1:71" s="116" customFormat="1" x14ac:dyDescent="0.25">
      <c r="A42" s="158" t="s">
        <v>224</v>
      </c>
      <c r="B42" s="101"/>
      <c r="C42" s="193">
        <v>64</v>
      </c>
      <c r="D42" s="175">
        <f>C42</f>
        <v>64</v>
      </c>
      <c r="E42" s="175">
        <f>C42</f>
        <v>64</v>
      </c>
      <c r="F42" s="175">
        <f>C42</f>
        <v>64</v>
      </c>
      <c r="G42" s="176">
        <f>C42+13</f>
        <v>77</v>
      </c>
      <c r="H42" s="175">
        <f>G42</f>
        <v>77</v>
      </c>
      <c r="I42" s="175">
        <f>G42</f>
        <v>77</v>
      </c>
      <c r="J42" s="175">
        <f>G42</f>
        <v>77</v>
      </c>
      <c r="K42" s="176">
        <f t="shared" ref="K42" si="112">G42+13</f>
        <v>90</v>
      </c>
      <c r="L42" s="175">
        <f t="shared" ref="L42" si="113">K42</f>
        <v>90</v>
      </c>
      <c r="M42" s="175">
        <f t="shared" ref="M42:M43" si="114">K42</f>
        <v>90</v>
      </c>
      <c r="N42" s="175">
        <f t="shared" ref="N42:N43" si="115">K42</f>
        <v>90</v>
      </c>
      <c r="O42" s="176">
        <f t="shared" ref="O42" si="116">K42+13</f>
        <v>103</v>
      </c>
      <c r="P42" s="175">
        <f t="shared" ref="P42" si="117">O42</f>
        <v>103</v>
      </c>
      <c r="Q42" s="175">
        <f t="shared" ref="Q42:Q43" si="118">O42</f>
        <v>103</v>
      </c>
      <c r="R42" s="175">
        <f t="shared" ref="R42:R43" si="119">O42</f>
        <v>103</v>
      </c>
      <c r="S42" s="176">
        <f t="shared" ref="S42" si="120">O42+13</f>
        <v>116</v>
      </c>
      <c r="T42" s="175">
        <f t="shared" ref="T42" si="121">S42</f>
        <v>116</v>
      </c>
      <c r="U42" s="175">
        <f t="shared" ref="U42:U43" si="122">S42</f>
        <v>116</v>
      </c>
      <c r="V42" s="175">
        <f t="shared" ref="V42:V43" si="123">S42</f>
        <v>116</v>
      </c>
      <c r="W42" s="176">
        <f t="shared" ref="W42" si="124">S42+13</f>
        <v>129</v>
      </c>
      <c r="X42" s="175">
        <f t="shared" ref="X42" si="125">W42</f>
        <v>129</v>
      </c>
      <c r="Y42" s="175">
        <f t="shared" ref="Y42:Y43" si="126">W42</f>
        <v>129</v>
      </c>
      <c r="Z42" s="175">
        <f t="shared" ref="Z42:Z43" si="127">W42</f>
        <v>129</v>
      </c>
      <c r="AA42" s="176">
        <f t="shared" ref="AA42" si="128">W42+13</f>
        <v>142</v>
      </c>
      <c r="AB42" s="175">
        <f t="shared" ref="AB42" si="129">AA42</f>
        <v>142</v>
      </c>
      <c r="AC42" s="175">
        <f t="shared" ref="AC42:AC43" si="130">AA42</f>
        <v>142</v>
      </c>
      <c r="AD42" s="175">
        <f t="shared" ref="AD42:AD43" si="131">AA42</f>
        <v>142</v>
      </c>
      <c r="AE42" s="176">
        <f t="shared" ref="AE42" si="132">AA42+13</f>
        <v>155</v>
      </c>
      <c r="AF42" s="175">
        <f t="shared" ref="AF42" si="133">AE42</f>
        <v>155</v>
      </c>
      <c r="AG42" s="175">
        <f t="shared" ref="AG42:AG43" si="134">AE42</f>
        <v>155</v>
      </c>
      <c r="AH42" s="175">
        <f t="shared" ref="AH42:AH43" si="135">AE42</f>
        <v>155</v>
      </c>
      <c r="AI42" s="176">
        <f t="shared" ref="AI42" si="136">AE42+13</f>
        <v>168</v>
      </c>
      <c r="AJ42" s="175">
        <f t="shared" ref="AJ42" si="137">AI42</f>
        <v>168</v>
      </c>
      <c r="AK42" s="175">
        <f t="shared" ref="AK42:AK43" si="138">AI42</f>
        <v>168</v>
      </c>
      <c r="AL42" s="175">
        <f t="shared" ref="AL42:AL43" si="139">AI42</f>
        <v>168</v>
      </c>
      <c r="AM42" s="176">
        <f t="shared" ref="AM42" si="140">AI42+13</f>
        <v>181</v>
      </c>
      <c r="AN42" s="175">
        <f t="shared" ref="AN42" si="141">AM42</f>
        <v>181</v>
      </c>
      <c r="AO42" s="175">
        <f t="shared" ref="AO42:AO43" si="142">AM42</f>
        <v>181</v>
      </c>
      <c r="AP42" s="175">
        <f t="shared" ref="AP42:AP43" si="143">AM42</f>
        <v>181</v>
      </c>
      <c r="AQ42" s="176">
        <f t="shared" ref="AQ42" si="144">AM42+13</f>
        <v>194</v>
      </c>
      <c r="AR42" s="175">
        <f t="shared" ref="AR42" si="145">AQ42</f>
        <v>194</v>
      </c>
      <c r="AS42" s="175">
        <f t="shared" ref="AS42:AS43" si="146">AQ42</f>
        <v>194</v>
      </c>
      <c r="AT42" s="175">
        <f t="shared" ref="AT42:AT43" si="147">AQ42</f>
        <v>194</v>
      </c>
      <c r="AU42" s="176">
        <f t="shared" ref="AU42" si="148">AQ42+13</f>
        <v>207</v>
      </c>
      <c r="AV42" s="175">
        <f t="shared" ref="AV42" si="149">AU42</f>
        <v>207</v>
      </c>
      <c r="AW42" s="175">
        <f t="shared" ref="AW42:AW43" si="150">AU42</f>
        <v>207</v>
      </c>
      <c r="AX42" s="175">
        <f t="shared" ref="AX42:AX43" si="151">AU42</f>
        <v>207</v>
      </c>
      <c r="AY42" s="176">
        <f t="shared" ref="AY42" si="152">AU42+13</f>
        <v>220</v>
      </c>
      <c r="AZ42" s="175">
        <f t="shared" ref="AZ42" si="153">AY42</f>
        <v>220</v>
      </c>
      <c r="BA42" s="175">
        <f t="shared" ref="BA42:BA43" si="154">AY42</f>
        <v>220</v>
      </c>
      <c r="BB42" s="175">
        <f t="shared" ref="BB42:BB43" si="155">AY42</f>
        <v>220</v>
      </c>
      <c r="BC42" s="176">
        <f t="shared" ref="BC42" si="156">AY42+13</f>
        <v>233</v>
      </c>
      <c r="BD42" s="175">
        <f t="shared" ref="BD42" si="157">BC42</f>
        <v>233</v>
      </c>
      <c r="BE42" s="175">
        <f t="shared" ref="BE42:BE43" si="158">BC42</f>
        <v>233</v>
      </c>
      <c r="BF42" s="175">
        <f t="shared" ref="BF42:BF43" si="159">BC42</f>
        <v>233</v>
      </c>
    </row>
    <row r="43" spans="1:71" s="60" customFormat="1" x14ac:dyDescent="0.25">
      <c r="A43" s="158" t="s">
        <v>225</v>
      </c>
      <c r="B43" s="101"/>
      <c r="C43" s="194">
        <v>2</v>
      </c>
      <c r="D43" s="175">
        <f>C43</f>
        <v>2</v>
      </c>
      <c r="E43" s="175">
        <f>C43</f>
        <v>2</v>
      </c>
      <c r="F43" s="175">
        <f>C43</f>
        <v>2</v>
      </c>
      <c r="G43" s="176">
        <f>C43+4</f>
        <v>6</v>
      </c>
      <c r="H43" s="175">
        <f>G43</f>
        <v>6</v>
      </c>
      <c r="I43" s="175">
        <f>G43</f>
        <v>6</v>
      </c>
      <c r="J43" s="175">
        <f>G43</f>
        <v>6</v>
      </c>
      <c r="K43" s="176">
        <f t="shared" ref="K43" si="160">G43+4</f>
        <v>10</v>
      </c>
      <c r="L43" s="175">
        <f t="shared" ref="L43" si="161">K43</f>
        <v>10</v>
      </c>
      <c r="M43" s="175">
        <f t="shared" si="114"/>
        <v>10</v>
      </c>
      <c r="N43" s="175">
        <f t="shared" si="115"/>
        <v>10</v>
      </c>
      <c r="O43" s="176">
        <f t="shared" ref="O43" si="162">K43+4</f>
        <v>14</v>
      </c>
      <c r="P43" s="175">
        <f t="shared" ref="P43" si="163">O43</f>
        <v>14</v>
      </c>
      <c r="Q43" s="175">
        <f t="shared" si="118"/>
        <v>14</v>
      </c>
      <c r="R43" s="175">
        <f t="shared" si="119"/>
        <v>14</v>
      </c>
      <c r="S43" s="176">
        <f t="shared" ref="S43" si="164">O43+4</f>
        <v>18</v>
      </c>
      <c r="T43" s="175">
        <f t="shared" ref="T43" si="165">S43</f>
        <v>18</v>
      </c>
      <c r="U43" s="175">
        <f t="shared" si="122"/>
        <v>18</v>
      </c>
      <c r="V43" s="175">
        <f t="shared" si="123"/>
        <v>18</v>
      </c>
      <c r="W43" s="176">
        <f t="shared" ref="W43" si="166">S43+4</f>
        <v>22</v>
      </c>
      <c r="X43" s="175">
        <f t="shared" ref="X43" si="167">W43</f>
        <v>22</v>
      </c>
      <c r="Y43" s="175">
        <f t="shared" si="126"/>
        <v>22</v>
      </c>
      <c r="Z43" s="175">
        <f t="shared" si="127"/>
        <v>22</v>
      </c>
      <c r="AA43" s="176">
        <f t="shared" ref="AA43" si="168">W43+4</f>
        <v>26</v>
      </c>
      <c r="AB43" s="175">
        <f t="shared" ref="AB43" si="169">AA43</f>
        <v>26</v>
      </c>
      <c r="AC43" s="175">
        <f t="shared" si="130"/>
        <v>26</v>
      </c>
      <c r="AD43" s="175">
        <f t="shared" si="131"/>
        <v>26</v>
      </c>
      <c r="AE43" s="176">
        <f t="shared" ref="AE43" si="170">AA43+4</f>
        <v>30</v>
      </c>
      <c r="AF43" s="175">
        <f t="shared" ref="AF43" si="171">AE43</f>
        <v>30</v>
      </c>
      <c r="AG43" s="175">
        <f t="shared" si="134"/>
        <v>30</v>
      </c>
      <c r="AH43" s="175">
        <f t="shared" si="135"/>
        <v>30</v>
      </c>
      <c r="AI43" s="176">
        <f t="shared" ref="AI43" si="172">AE43+4</f>
        <v>34</v>
      </c>
      <c r="AJ43" s="175">
        <f t="shared" ref="AJ43" si="173">AI43</f>
        <v>34</v>
      </c>
      <c r="AK43" s="175">
        <f t="shared" si="138"/>
        <v>34</v>
      </c>
      <c r="AL43" s="175">
        <f t="shared" si="139"/>
        <v>34</v>
      </c>
      <c r="AM43" s="176">
        <f t="shared" ref="AM43" si="174">AI43+4</f>
        <v>38</v>
      </c>
      <c r="AN43" s="175">
        <f t="shared" ref="AN43" si="175">AM43</f>
        <v>38</v>
      </c>
      <c r="AO43" s="175">
        <f t="shared" si="142"/>
        <v>38</v>
      </c>
      <c r="AP43" s="175">
        <f t="shared" si="143"/>
        <v>38</v>
      </c>
      <c r="AQ43" s="176">
        <f t="shared" ref="AQ43" si="176">AM43+4</f>
        <v>42</v>
      </c>
      <c r="AR43" s="175">
        <f t="shared" ref="AR43" si="177">AQ43</f>
        <v>42</v>
      </c>
      <c r="AS43" s="175">
        <f t="shared" si="146"/>
        <v>42</v>
      </c>
      <c r="AT43" s="175">
        <f t="shared" si="147"/>
        <v>42</v>
      </c>
      <c r="AU43" s="176">
        <f t="shared" ref="AU43" si="178">AQ43+4</f>
        <v>46</v>
      </c>
      <c r="AV43" s="175">
        <f t="shared" ref="AV43" si="179">AU43</f>
        <v>46</v>
      </c>
      <c r="AW43" s="175">
        <f t="shared" si="150"/>
        <v>46</v>
      </c>
      <c r="AX43" s="175">
        <f t="shared" si="151"/>
        <v>46</v>
      </c>
      <c r="AY43" s="176">
        <f t="shared" ref="AY43" si="180">AU43+4</f>
        <v>50</v>
      </c>
      <c r="AZ43" s="175">
        <f t="shared" ref="AZ43" si="181">AY43</f>
        <v>50</v>
      </c>
      <c r="BA43" s="175">
        <f t="shared" si="154"/>
        <v>50</v>
      </c>
      <c r="BB43" s="175">
        <f t="shared" si="155"/>
        <v>50</v>
      </c>
      <c r="BC43" s="176">
        <f t="shared" ref="BC43" si="182">AY43+4</f>
        <v>54</v>
      </c>
      <c r="BD43" s="175">
        <f t="shared" ref="BD43" si="183">BC43</f>
        <v>54</v>
      </c>
      <c r="BE43" s="175">
        <f t="shared" si="158"/>
        <v>54</v>
      </c>
      <c r="BF43" s="175">
        <f t="shared" si="159"/>
        <v>54</v>
      </c>
    </row>
    <row r="44" spans="1:71" s="60" customFormat="1" ht="15" customHeight="1" x14ac:dyDescent="0.25">
      <c r="A44" s="62"/>
      <c r="B44" s="101"/>
      <c r="C44" s="60">
        <f ca="1">OFFSET($C$44,-20,(COLUMN()-3)*4)</f>
        <v>4.25</v>
      </c>
      <c r="D44" s="60">
        <f t="shared" ref="D44:P44" ca="1" si="184">OFFSET($C$44,-20,(COLUMN()-3)*4)</f>
        <v>3</v>
      </c>
      <c r="E44" s="60">
        <f t="shared" ca="1" si="184"/>
        <v>3</v>
      </c>
      <c r="F44" s="60">
        <f t="shared" ca="1" si="184"/>
        <v>8.25</v>
      </c>
      <c r="G44" s="60">
        <f t="shared" ca="1" si="184"/>
        <v>5.75</v>
      </c>
      <c r="H44" s="60">
        <f t="shared" ca="1" si="184"/>
        <v>4</v>
      </c>
      <c r="I44" s="60">
        <f t="shared" ca="1" si="184"/>
        <v>3.75</v>
      </c>
      <c r="J44" s="60">
        <f t="shared" ca="1" si="184"/>
        <v>2.25</v>
      </c>
      <c r="K44" s="60">
        <f t="shared" ca="1" si="184"/>
        <v>4.5</v>
      </c>
      <c r="L44" s="60">
        <f t="shared" ca="1" si="184"/>
        <v>5.5</v>
      </c>
      <c r="M44" s="60">
        <f ca="1">OFFSET($C$44,-20,(COLUMN()-3)*4)</f>
        <v>3.5</v>
      </c>
      <c r="N44" s="60">
        <f t="shared" ca="1" si="184"/>
        <v>3.25</v>
      </c>
      <c r="O44" s="60">
        <f t="shared" ca="1" si="184"/>
        <v>3</v>
      </c>
      <c r="P44" s="60">
        <f t="shared" ca="1" si="184"/>
        <v>5.25</v>
      </c>
    </row>
    <row r="45" spans="1:71" s="60" customFormat="1" ht="15" customHeight="1" x14ac:dyDescent="0.25">
      <c r="A45" s="62"/>
      <c r="B45" s="101"/>
    </row>
    <row r="46" spans="1:71" s="60" customFormat="1" ht="15" customHeight="1" x14ac:dyDescent="0.25">
      <c r="A46" s="62"/>
      <c r="B46" s="101"/>
    </row>
    <row r="47" spans="1:71" s="60" customFormat="1" ht="15" customHeight="1" x14ac:dyDescent="0.25">
      <c r="A47" s="62"/>
      <c r="B47" s="101"/>
    </row>
    <row r="48" spans="1:71" s="60" customFormat="1" ht="15" customHeight="1" x14ac:dyDescent="0.25">
      <c r="A48" s="62"/>
      <c r="B48" s="101"/>
    </row>
    <row r="49" spans="1:8" s="60" customFormat="1" ht="15" customHeight="1" x14ac:dyDescent="0.25">
      <c r="A49" s="62"/>
      <c r="B49" s="101"/>
    </row>
    <row r="50" spans="1:8" ht="15" customHeight="1" x14ac:dyDescent="0.25">
      <c r="A50" s="158" t="s">
        <v>216</v>
      </c>
      <c r="B50" s="159" t="s">
        <v>189</v>
      </c>
      <c r="C50" s="151" t="s">
        <v>215</v>
      </c>
      <c r="D50" s="156" t="s">
        <v>198</v>
      </c>
      <c r="E50" s="156" t="s">
        <v>214</v>
      </c>
      <c r="F50" s="156" t="s">
        <v>211</v>
      </c>
      <c r="G50" s="156" t="s">
        <v>213</v>
      </c>
      <c r="H50" s="155" t="s">
        <v>217</v>
      </c>
    </row>
    <row r="51" spans="1:8" x14ac:dyDescent="0.25">
      <c r="A51" s="160">
        <f ca="1">IF(WEEKDAY(TODAY(),2)=Lentelė2[[#This Row],[sav.d.skaitine išr.]],TODAY(),"")</f>
        <v>43031</v>
      </c>
      <c r="B51" s="139" t="s">
        <v>34</v>
      </c>
      <c r="C51" s="148" t="s">
        <v>182</v>
      </c>
      <c r="D51" s="140" t="s">
        <v>31</v>
      </c>
      <c r="E51" s="149" t="s">
        <v>188</v>
      </c>
      <c r="F51" s="141" t="s">
        <v>37</v>
      </c>
      <c r="G51" s="150" t="s">
        <v>183</v>
      </c>
      <c r="H51" s="157">
        <v>1</v>
      </c>
    </row>
    <row r="52" spans="1:8" x14ac:dyDescent="0.25">
      <c r="A52" s="160" t="str">
        <f ca="1">IF(WEEKDAY(TODAY(),2)=Lentelė2[[#This Row],[sav.d.skaitine išr.]],TODAY(),"")</f>
        <v/>
      </c>
      <c r="B52" s="139" t="s">
        <v>37</v>
      </c>
      <c r="C52" s="148" t="s">
        <v>183</v>
      </c>
      <c r="D52" s="140" t="s">
        <v>34</v>
      </c>
      <c r="E52" s="149" t="s">
        <v>182</v>
      </c>
      <c r="F52" s="141" t="s">
        <v>40</v>
      </c>
      <c r="G52" s="150" t="s">
        <v>184</v>
      </c>
      <c r="H52" s="157">
        <v>2</v>
      </c>
    </row>
    <row r="53" spans="1:8" x14ac:dyDescent="0.25">
      <c r="A53" s="160" t="str">
        <f ca="1">IF(WEEKDAY(TODAY(),2)=Lentelė2[[#This Row],[sav.d.skaitine išr.]],TODAY(),"")</f>
        <v/>
      </c>
      <c r="B53" s="139" t="s">
        <v>40</v>
      </c>
      <c r="C53" s="148" t="s">
        <v>184</v>
      </c>
      <c r="D53" s="140" t="s">
        <v>37</v>
      </c>
      <c r="E53" s="149" t="s">
        <v>183</v>
      </c>
      <c r="F53" s="141" t="s">
        <v>42</v>
      </c>
      <c r="G53" s="150" t="s">
        <v>185</v>
      </c>
      <c r="H53" s="157">
        <v>3</v>
      </c>
    </row>
    <row r="54" spans="1:8" x14ac:dyDescent="0.25">
      <c r="A54" s="160" t="str">
        <f ca="1">IF(WEEKDAY(TODAY(),2)=Lentelė2[[#This Row],[sav.d.skaitine išr.]],TODAY(),"")</f>
        <v/>
      </c>
      <c r="B54" s="139" t="s">
        <v>42</v>
      </c>
      <c r="C54" s="148" t="s">
        <v>185</v>
      </c>
      <c r="D54" s="140" t="s">
        <v>40</v>
      </c>
      <c r="E54" s="149" t="s">
        <v>184</v>
      </c>
      <c r="F54" s="141" t="s">
        <v>46</v>
      </c>
      <c r="G54" s="150" t="s">
        <v>186</v>
      </c>
      <c r="H54" s="157">
        <v>4</v>
      </c>
    </row>
    <row r="55" spans="1:8" x14ac:dyDescent="0.25">
      <c r="A55" s="160" t="str">
        <f ca="1">IF(WEEKDAY(TODAY(),2)=Lentelė2[[#This Row],[sav.d.skaitine išr.]],TODAY(),"")</f>
        <v/>
      </c>
      <c r="B55" s="139" t="s">
        <v>46</v>
      </c>
      <c r="C55" s="148" t="s">
        <v>186</v>
      </c>
      <c r="D55" s="140" t="s">
        <v>42</v>
      </c>
      <c r="E55" s="149" t="s">
        <v>185</v>
      </c>
      <c r="F55" s="141" t="s">
        <v>23</v>
      </c>
      <c r="G55" s="150" t="s">
        <v>187</v>
      </c>
      <c r="H55" s="157">
        <v>5</v>
      </c>
    </row>
    <row r="56" spans="1:8" x14ac:dyDescent="0.25">
      <c r="A56" s="160" t="str">
        <f ca="1">IF(WEEKDAY(TODAY(),2)=Lentelė2[[#This Row],[sav.d.skaitine išr.]],TODAY(),"")</f>
        <v/>
      </c>
      <c r="B56" s="139" t="s">
        <v>23</v>
      </c>
      <c r="C56" s="148" t="s">
        <v>187</v>
      </c>
      <c r="D56" s="140" t="s">
        <v>46</v>
      </c>
      <c r="E56" s="149" t="s">
        <v>186</v>
      </c>
      <c r="F56" s="141" t="s">
        <v>31</v>
      </c>
      <c r="G56" s="150" t="s">
        <v>188</v>
      </c>
      <c r="H56" s="157">
        <v>6</v>
      </c>
    </row>
    <row r="57" spans="1:8" x14ac:dyDescent="0.25">
      <c r="A57" s="160" t="str">
        <f ca="1">IF(WEEKDAY(TODAY(),2)=Lentelė2[[#This Row],[sav.d.skaitine išr.]],TODAY(),"")</f>
        <v/>
      </c>
      <c r="B57" s="145" t="s">
        <v>31</v>
      </c>
      <c r="C57" s="152" t="s">
        <v>188</v>
      </c>
      <c r="D57" s="146" t="s">
        <v>23</v>
      </c>
      <c r="E57" s="153" t="s">
        <v>187</v>
      </c>
      <c r="F57" s="147" t="s">
        <v>34</v>
      </c>
      <c r="G57" s="154" t="s">
        <v>182</v>
      </c>
      <c r="H57" s="157">
        <v>7</v>
      </c>
    </row>
  </sheetData>
  <sheetProtection formatCells="0" formatColumns="0" formatRows="0" insertColumns="0" insertRows="0" insertHyperlinks="0" deleteColumns="0" deleteRows="0" sort="0" autoFilter="0" pivotTables="0"/>
  <mergeCells count="48">
    <mergeCell ref="AQ24:AT26"/>
    <mergeCell ref="AU24:AX26"/>
    <mergeCell ref="AY24:BB26"/>
    <mergeCell ref="BC24:BF26"/>
    <mergeCell ref="W24:Z26"/>
    <mergeCell ref="AA24:AD26"/>
    <mergeCell ref="AE24:AH26"/>
    <mergeCell ref="AI24:AL26"/>
    <mergeCell ref="AM24:AP26"/>
    <mergeCell ref="C24:F26"/>
    <mergeCell ref="G24:J26"/>
    <mergeCell ref="K24:N26"/>
    <mergeCell ref="O24:R26"/>
    <mergeCell ref="S24:V26"/>
    <mergeCell ref="A1:B1"/>
    <mergeCell ref="A2:B2"/>
    <mergeCell ref="A3:B3"/>
    <mergeCell ref="C4:E4"/>
    <mergeCell ref="AE4:AG4"/>
    <mergeCell ref="G1:J1"/>
    <mergeCell ref="K1:N1"/>
    <mergeCell ref="O1:R1"/>
    <mergeCell ref="S1:V1"/>
    <mergeCell ref="C2:F2"/>
    <mergeCell ref="G2:J2"/>
    <mergeCell ref="K2:N2"/>
    <mergeCell ref="AA4:AC4"/>
    <mergeCell ref="W4:Y4"/>
    <mergeCell ref="C3:F3"/>
    <mergeCell ref="G4:I4"/>
    <mergeCell ref="O4:Q4"/>
    <mergeCell ref="S4:U4"/>
    <mergeCell ref="K4:M4"/>
    <mergeCell ref="AU4:AW4"/>
    <mergeCell ref="AY4:BA4"/>
    <mergeCell ref="BC4:BE4"/>
    <mergeCell ref="AI4:AK4"/>
    <mergeCell ref="AM4:AO4"/>
    <mergeCell ref="AQ4:AS4"/>
    <mergeCell ref="BC1:BF1"/>
    <mergeCell ref="AQ1:AT1"/>
    <mergeCell ref="AU1:AX1"/>
    <mergeCell ref="AY1:BB1"/>
    <mergeCell ref="W1:Z1"/>
    <mergeCell ref="AA1:AD1"/>
    <mergeCell ref="AE1:AH1"/>
    <mergeCell ref="AI1:AL1"/>
    <mergeCell ref="AM1:AP1"/>
  </mergeCells>
  <conditionalFormatting sqref="A12:A14">
    <cfRule type="expression" dxfId="19" priority="19">
      <formula>AND(OFFSET(A$11,31,0)&gt;=26,OFFSET(A$11,31,0)&lt;=30)</formula>
    </cfRule>
    <cfRule type="expression" dxfId="18" priority="20">
      <formula>AND(OFFSET(A$11,31,0)&gt;=20,OFFSET(A$11,31,0)&lt;=25)</formula>
    </cfRule>
  </conditionalFormatting>
  <conditionalFormatting sqref="C4:BF4">
    <cfRule type="containsText" dxfId="17" priority="11" operator="containsText" text="sekm">
      <formula>NOT(ISERROR(SEARCH("sekm",C4)))</formula>
    </cfRule>
    <cfRule type="containsText" dxfId="16" priority="12" operator="containsText" text="šešt">
      <formula>NOT(ISERROR(SEARCH("šešt",C4)))</formula>
    </cfRule>
  </conditionalFormatting>
  <conditionalFormatting sqref="C40:BF40">
    <cfRule type="colorScale" priority="10">
      <colorScale>
        <cfvo type="min"/>
        <cfvo type="max"/>
        <color rgb="FFFCFCFF"/>
        <color rgb="FFF8696B"/>
      </colorScale>
    </cfRule>
  </conditionalFormatting>
  <conditionalFormatting sqref="C9:BF9">
    <cfRule type="containsText" dxfId="15" priority="9" operator="containsText" text="h">
      <formula>NOT(ISERROR(SEARCH("h",C9)))</formula>
    </cfRule>
  </conditionalFormatting>
  <conditionalFormatting sqref="C23 E23 G23 I23 K23 M23 O23 Q23 S23 U23 W23 Y23 AA23 AC23 AE23 AG23 AI23 AK23 AM23 AO23 AQ23 AS23 AU23 AW23 AY23 BA23 BC23 BE23">
    <cfRule type="dataBar" priority="8">
      <dataBar>
        <cfvo type="num" val="0"/>
        <cfvo type="num" val="20"/>
        <color rgb="FFFF0000"/>
      </dataBar>
      <extLst>
        <ext xmlns:x14="http://schemas.microsoft.com/office/spreadsheetml/2009/9/main" uri="{B025F937-C7B1-47D3-B67F-A62EFF666E3E}">
          <x14:id>{8D490B18-D288-4647-89A3-C24AF0296288}</x14:id>
        </ext>
      </extLst>
    </cfRule>
  </conditionalFormatting>
  <conditionalFormatting sqref="D23 F23 H23 J23 L23 N23 P23 R23 T23 V23 X23 Z23 AB23 AD23 AF23 AH23 AJ23 AL23 AN23 AP23 AR23 AT23 AV23 AX23 AZ23 BB23 BD23 BF23">
    <cfRule type="dataBar" priority="7">
      <dataBar>
        <cfvo type="num" val="0"/>
        <cfvo type="num" val="20"/>
        <color rgb="FFFF0000"/>
      </dataBar>
      <extLst>
        <ext xmlns:x14="http://schemas.microsoft.com/office/spreadsheetml/2009/9/main" uri="{B025F937-C7B1-47D3-B67F-A62EFF666E3E}">
          <x14:id>{DDFAD786-FA40-45E4-B3B0-504F156C4EED}</x14:id>
        </ext>
      </extLst>
    </cfRule>
  </conditionalFormatting>
  <conditionalFormatting sqref="C8:BF8">
    <cfRule type="cellIs" dxfId="14" priority="99" operator="equal">
      <formula>"Ö"</formula>
    </cfRule>
    <cfRule type="cellIs" dxfId="13" priority="100" operator="equal">
      <formula>"Õ"</formula>
    </cfRule>
    <cfRule type="containsText" dxfId="12" priority="102" operator="containsText" text="o">
      <formula>NOT(ISERROR(SEARCH("o",C8)))</formula>
    </cfRule>
  </conditionalFormatting>
  <conditionalFormatting sqref="C11:BF11">
    <cfRule type="expression" dxfId="11" priority="1">
      <formula>AND(OFFSET(C11,30,0)&gt;=36,OFFSET(C11,30,0)&lt;=40)</formula>
    </cfRule>
    <cfRule type="expression" dxfId="10" priority="2">
      <formula>AND(OFFSET(C11,30,0)&gt;=31,OFFSET(C11,30,0)&lt;=35)</formula>
    </cfRule>
    <cfRule type="expression" dxfId="9" priority="3">
      <formula>AND(OFFSET(C11,30,0)&gt;=26,OFFSET(C11,30,0)&lt;=30)</formula>
    </cfRule>
    <cfRule type="expression" dxfId="8" priority="4">
      <formula>AND(OFFSET(C11,30,0)&gt;=20,OFFSET(C11,30,0)&lt;=25)</formula>
    </cfRule>
    <cfRule type="expression" dxfId="7" priority="5">
      <formula>AND(OFFSET(C11,30,0)&gt;=0,OFFSET(C11,30,0)&lt;=10)</formula>
    </cfRule>
  </conditionalFormatting>
  <pageMargins left="0.23622047244094491" right="0.23622047244094491" top="1.1811023622047245" bottom="0.74803149606299213" header="0.31496062992125984" footer="0.31496062992125984"/>
  <pageSetup paperSize="9" scale="47" orientation="landscape" blackAndWhite="1" verticalDpi="0" r:id="rId1"/>
  <drawing r:id="rId2"/>
  <legacyDrawing r:id="rId3"/>
  <tableParts count="1">
    <tablePart r:id="rId4"/>
  </tableParts>
  <extLst>
    <ext xmlns:x14="http://schemas.microsoft.com/office/spreadsheetml/2009/9/main" uri="{78C0D931-6437-407d-A8EE-F0AAD7539E65}">
      <x14:conditionalFormattings>
        <x14:conditionalFormatting xmlns:xm="http://schemas.microsoft.com/office/excel/2006/main">
          <x14:cfRule type="dataBar" id="{8D490B18-D288-4647-89A3-C24AF0296288}">
            <x14:dataBar minLength="0" maxLength="100" gradient="0">
              <x14:cfvo type="num">
                <xm:f>0</xm:f>
              </x14:cfvo>
              <x14:cfvo type="num">
                <xm:f>20</xm:f>
              </x14:cfvo>
              <x14:negativeFillColor rgb="FFFF0000"/>
              <x14:axisColor rgb="FF000000"/>
            </x14:dataBar>
          </x14:cfRule>
          <xm:sqref>C23 E23 G23 I23 K23 M23 O23 Q23 S23 U23 W23 Y23 AA23 AC23 AE23 AG23 AI23 AK23 AM23 AO23 AQ23 AS23 AU23 AW23 AY23 BA23 BC23 BE23</xm:sqref>
        </x14:conditionalFormatting>
        <x14:conditionalFormatting xmlns:xm="http://schemas.microsoft.com/office/excel/2006/main">
          <x14:cfRule type="dataBar" id="{DDFAD786-FA40-45E4-B3B0-504F156C4EED}">
            <x14:dataBar minLength="0" maxLength="100" gradient="0">
              <x14:cfvo type="num">
                <xm:f>0</xm:f>
              </x14:cfvo>
              <x14:cfvo type="num">
                <xm:f>20</xm:f>
              </x14:cfvo>
              <x14:negativeFillColor rgb="FFFF0000"/>
              <x14:axisColor rgb="FF000000"/>
            </x14:dataBar>
          </x14:cfRule>
          <xm:sqref>D23 F23 H23 J23 L23 N23 P23 R23 T23 V23 X23 Z23 AB23 AD23 AF23 AH23 AJ23 AL23 AN23 AP23 AR23 AT23 AV23 AX23 AZ23 BB23 BD23 BF23</xm:sqref>
        </x14:conditionalFormatting>
        <x14:conditionalFormatting xmlns:xm="http://schemas.microsoft.com/office/excel/2006/main">
          <x14:cfRule type="containsText" priority="101" operator="containsText" id="{A4143644-692A-409C-87CB-52DA8214CE6B}">
            <xm:f>NOT(ISERROR(SEARCH("Ù",C8)))</xm:f>
            <xm:f>"Ù"</xm:f>
            <x14:dxf>
              <font>
                <color auto="1"/>
              </font>
              <fill>
                <patternFill>
                  <bgColor theme="4" tint="0.59996337778862885"/>
                </patternFill>
              </fill>
            </x14:dxf>
          </x14:cfRule>
          <xm:sqref>C8:BF8</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apas2"/>
  <dimension ref="A1:S207"/>
  <sheetViews>
    <sheetView zoomScale="85" zoomScaleNormal="85" workbookViewId="0">
      <pane ySplit="1" topLeftCell="A63" activePane="bottomLeft" state="frozen"/>
      <selection activeCell="B1" sqref="B1"/>
      <selection pane="bottomLeft" activeCell="J63" sqref="J63:L65"/>
    </sheetView>
  </sheetViews>
  <sheetFormatPr defaultColWidth="13.7109375" defaultRowHeight="15" outlineLevelRow="1" x14ac:dyDescent="0.25"/>
  <cols>
    <col min="1" max="1" width="81.140625" style="32" bestFit="1" customWidth="1"/>
    <col min="2" max="2" width="36.28515625" style="33" bestFit="1" customWidth="1"/>
    <col min="3" max="3" width="39.140625" style="32" bestFit="1" customWidth="1"/>
    <col min="4" max="4" width="14" style="33" bestFit="1" customWidth="1"/>
    <col min="5" max="5" width="27.140625" style="32" bestFit="1" customWidth="1"/>
    <col min="6" max="6" width="17.5703125" style="33" bestFit="1" customWidth="1"/>
    <col min="7" max="7" width="14.28515625" style="32" bestFit="1" customWidth="1"/>
    <col min="8" max="8" width="11" style="32" bestFit="1" customWidth="1"/>
    <col min="9" max="9" width="13.7109375" style="32"/>
    <col min="10" max="12" width="13.7109375" style="45" customWidth="1"/>
    <col min="13" max="16" width="13.7109375" style="18" customWidth="1"/>
    <col min="17" max="17" width="13.7109375" customWidth="1"/>
    <col min="18" max="18" width="13.7109375" style="266" customWidth="1"/>
  </cols>
  <sheetData>
    <row r="1" spans="1:18" ht="15" customHeight="1" outlineLevel="1" x14ac:dyDescent="0.25">
      <c r="A1" s="32" t="s">
        <v>0</v>
      </c>
      <c r="J1" s="185" t="s">
        <v>111</v>
      </c>
      <c r="K1" s="185" t="s">
        <v>105</v>
      </c>
      <c r="L1" s="185" t="s">
        <v>104</v>
      </c>
      <c r="M1" s="186" t="s">
        <v>110</v>
      </c>
      <c r="N1" s="186" t="s">
        <v>111</v>
      </c>
      <c r="O1" s="186" t="s">
        <v>104</v>
      </c>
      <c r="P1" s="186" t="s">
        <v>105</v>
      </c>
      <c r="Q1" s="265" t="s">
        <v>275</v>
      </c>
      <c r="R1" s="267" t="s">
        <v>276</v>
      </c>
    </row>
    <row r="2" spans="1:18" ht="15" customHeight="1" outlineLevel="1" x14ac:dyDescent="0.25">
      <c r="A2" s="32" t="s">
        <v>1</v>
      </c>
      <c r="Q2" s="1" t="str">
        <f t="shared" ref="Q2:Q33" ca="1" si="0">IF(A2="Saulė",TIMEVALUE(RIGHT(OFFSET(A2,1,0),5)),"")</f>
        <v/>
      </c>
      <c r="R2" s="1" t="str">
        <f t="shared" ref="R2:R65" ca="1" si="1">IF(A2="Saulė",TIMEVALUE(RIGHT(OFFSET(A2,2,0),5)),"")</f>
        <v/>
      </c>
    </row>
    <row r="3" spans="1:18" ht="15" customHeight="1" outlineLevel="1" x14ac:dyDescent="0.25">
      <c r="A3" s="32" t="s">
        <v>2</v>
      </c>
      <c r="Q3" s="1" t="str">
        <f t="shared" ca="1" si="0"/>
        <v/>
      </c>
      <c r="R3" s="1" t="str">
        <f t="shared" ca="1" si="1"/>
        <v/>
      </c>
    </row>
    <row r="4" spans="1:18" ht="15" customHeight="1" outlineLevel="1" x14ac:dyDescent="0.25">
      <c r="A4" s="32" t="s">
        <v>3</v>
      </c>
      <c r="Q4" s="1" t="str">
        <f t="shared" ca="1" si="0"/>
        <v/>
      </c>
      <c r="R4" s="1" t="str">
        <f t="shared" ca="1" si="1"/>
        <v/>
      </c>
    </row>
    <row r="5" spans="1:18" ht="15" customHeight="1" outlineLevel="1" x14ac:dyDescent="0.25">
      <c r="A5" s="32" t="s">
        <v>4</v>
      </c>
      <c r="Q5" s="1" t="str">
        <f t="shared" ca="1" si="0"/>
        <v/>
      </c>
      <c r="R5" s="1" t="str">
        <f t="shared" ca="1" si="1"/>
        <v/>
      </c>
    </row>
    <row r="6" spans="1:18" ht="15" customHeight="1" outlineLevel="1" x14ac:dyDescent="0.25">
      <c r="A6" s="32" t="s">
        <v>5</v>
      </c>
      <c r="Q6" s="1" t="str">
        <f t="shared" ca="1" si="0"/>
        <v/>
      </c>
      <c r="R6" s="1" t="str">
        <f t="shared" ca="1" si="1"/>
        <v/>
      </c>
    </row>
    <row r="7" spans="1:18" ht="15" customHeight="1" outlineLevel="1" x14ac:dyDescent="0.25">
      <c r="A7" s="32" t="s">
        <v>6</v>
      </c>
      <c r="Q7" s="1" t="str">
        <f t="shared" ca="1" si="0"/>
        <v/>
      </c>
      <c r="R7" s="1" t="str">
        <f t="shared" ca="1" si="1"/>
        <v/>
      </c>
    </row>
    <row r="8" spans="1:18" ht="15" customHeight="1" outlineLevel="1" x14ac:dyDescent="0.25">
      <c r="A8" s="32" t="s">
        <v>7</v>
      </c>
      <c r="Q8" s="1" t="str">
        <f t="shared" ca="1" si="0"/>
        <v/>
      </c>
      <c r="R8" s="1" t="str">
        <f t="shared" ca="1" si="1"/>
        <v/>
      </c>
    </row>
    <row r="9" spans="1:18" ht="15" customHeight="1" outlineLevel="1" x14ac:dyDescent="0.25">
      <c r="A9" s="32" t="s">
        <v>8</v>
      </c>
      <c r="Q9" s="1" t="str">
        <f t="shared" ca="1" si="0"/>
        <v/>
      </c>
      <c r="R9" s="1" t="str">
        <f t="shared" ca="1" si="1"/>
        <v/>
      </c>
    </row>
    <row r="10" spans="1:18" ht="15" customHeight="1" outlineLevel="1" x14ac:dyDescent="0.25">
      <c r="A10" s="32" t="s">
        <v>9</v>
      </c>
      <c r="Q10" s="1" t="str">
        <f t="shared" ca="1" si="0"/>
        <v/>
      </c>
      <c r="R10" s="1" t="str">
        <f t="shared" ca="1" si="1"/>
        <v/>
      </c>
    </row>
    <row r="11" spans="1:18" ht="15" customHeight="1" outlineLevel="1" x14ac:dyDescent="0.25">
      <c r="A11" s="32" t="s">
        <v>10</v>
      </c>
      <c r="Q11" s="1" t="str">
        <f t="shared" ca="1" si="0"/>
        <v/>
      </c>
      <c r="R11" s="1" t="str">
        <f t="shared" ca="1" si="1"/>
        <v/>
      </c>
    </row>
    <row r="12" spans="1:18" ht="15" customHeight="1" outlineLevel="1" x14ac:dyDescent="0.25">
      <c r="Q12" s="1" t="str">
        <f t="shared" ca="1" si="0"/>
        <v/>
      </c>
      <c r="R12" s="1" t="str">
        <f t="shared" ca="1" si="1"/>
        <v/>
      </c>
    </row>
    <row r="13" spans="1:18" ht="15" customHeight="1" outlineLevel="1" x14ac:dyDescent="0.25">
      <c r="A13" s="32" t="s">
        <v>11</v>
      </c>
      <c r="Q13" s="1" t="str">
        <f t="shared" ca="1" si="0"/>
        <v/>
      </c>
      <c r="R13" s="1" t="str">
        <f t="shared" ca="1" si="1"/>
        <v/>
      </c>
    </row>
    <row r="14" spans="1:18" ht="15" customHeight="1" outlineLevel="1" x14ac:dyDescent="0.25">
      <c r="A14" s="32" t="s">
        <v>12</v>
      </c>
      <c r="Q14" s="1" t="str">
        <f t="shared" ca="1" si="0"/>
        <v/>
      </c>
      <c r="R14" s="1" t="str">
        <f t="shared" ca="1" si="1"/>
        <v/>
      </c>
    </row>
    <row r="15" spans="1:18" ht="15" customHeight="1" x14ac:dyDescent="0.25">
      <c r="A15" s="34" t="s">
        <v>13</v>
      </c>
      <c r="Q15" s="1" t="str">
        <f t="shared" ca="1" si="0"/>
        <v/>
      </c>
      <c r="R15" s="1" t="str">
        <f t="shared" ca="1" si="1"/>
        <v/>
      </c>
    </row>
    <row r="16" spans="1:18" ht="15" customHeight="1" x14ac:dyDescent="0.25">
      <c r="A16" s="35" t="s">
        <v>336</v>
      </c>
      <c r="Q16" s="1" t="str">
        <f t="shared" ca="1" si="0"/>
        <v/>
      </c>
      <c r="R16" s="1" t="str">
        <f t="shared" ca="1" si="1"/>
        <v/>
      </c>
    </row>
    <row r="17" spans="1:18" ht="15" customHeight="1" x14ac:dyDescent="0.25">
      <c r="A17" s="35" t="s">
        <v>339</v>
      </c>
      <c r="Q17" s="1" t="str">
        <f t="shared" ca="1" si="0"/>
        <v/>
      </c>
      <c r="R17" s="1" t="str">
        <f t="shared" ca="1" si="1"/>
        <v/>
      </c>
    </row>
    <row r="18" spans="1:18" ht="15" customHeight="1" x14ac:dyDescent="0.25">
      <c r="A18" s="35" t="s">
        <v>338</v>
      </c>
      <c r="Q18" s="1" t="str">
        <f t="shared" ca="1" si="0"/>
        <v/>
      </c>
      <c r="R18" s="1" t="str">
        <f t="shared" ca="1" si="1"/>
        <v/>
      </c>
    </row>
    <row r="19" spans="1:18" ht="15" customHeight="1" x14ac:dyDescent="0.25">
      <c r="A19" s="35" t="s">
        <v>337</v>
      </c>
      <c r="Q19" s="1" t="str">
        <f t="shared" ca="1" si="0"/>
        <v/>
      </c>
      <c r="R19" s="1" t="str">
        <f t="shared" ca="1" si="1"/>
        <v/>
      </c>
    </row>
    <row r="20" spans="1:18" ht="15" customHeight="1" x14ac:dyDescent="0.25">
      <c r="A20" s="35" t="s">
        <v>341</v>
      </c>
      <c r="Q20" s="1" t="str">
        <f t="shared" ca="1" si="0"/>
        <v/>
      </c>
      <c r="R20" s="1" t="str">
        <f t="shared" ca="1" si="1"/>
        <v/>
      </c>
    </row>
    <row r="21" spans="1:18" ht="15" customHeight="1" x14ac:dyDescent="0.25">
      <c r="A21" s="35" t="s">
        <v>344</v>
      </c>
      <c r="Q21" s="1" t="str">
        <f t="shared" ca="1" si="0"/>
        <v/>
      </c>
      <c r="R21" s="1" t="str">
        <f t="shared" ca="1" si="1"/>
        <v/>
      </c>
    </row>
    <row r="22" spans="1:18" ht="15" customHeight="1" x14ac:dyDescent="0.25">
      <c r="A22" s="35" t="s">
        <v>342</v>
      </c>
      <c r="Q22" s="1" t="str">
        <f t="shared" ca="1" si="0"/>
        <v/>
      </c>
      <c r="R22" s="1" t="str">
        <f t="shared" ca="1" si="1"/>
        <v/>
      </c>
    </row>
    <row r="23" spans="1:18" ht="15" customHeight="1" x14ac:dyDescent="0.25">
      <c r="A23" s="35" t="s">
        <v>340</v>
      </c>
      <c r="Q23" s="1" t="str">
        <f t="shared" ca="1" si="0"/>
        <v/>
      </c>
      <c r="R23" s="1" t="str">
        <f t="shared" ca="1" si="1"/>
        <v/>
      </c>
    </row>
    <row r="24" spans="1:18" ht="15" customHeight="1" x14ac:dyDescent="0.25">
      <c r="A24" s="35" t="s">
        <v>343</v>
      </c>
      <c r="Q24" s="1" t="str">
        <f t="shared" ca="1" si="0"/>
        <v/>
      </c>
      <c r="R24" s="1" t="str">
        <f t="shared" ca="1" si="1"/>
        <v/>
      </c>
    </row>
    <row r="25" spans="1:18" ht="15" customHeight="1" x14ac:dyDescent="0.25">
      <c r="A25" s="35" t="s">
        <v>345</v>
      </c>
      <c r="Q25" s="1" t="str">
        <f t="shared" ca="1" si="0"/>
        <v/>
      </c>
      <c r="R25" s="1" t="str">
        <f t="shared" ca="1" si="1"/>
        <v/>
      </c>
    </row>
    <row r="26" spans="1:18" ht="15" customHeight="1" x14ac:dyDescent="0.25">
      <c r="A26" s="35" t="s">
        <v>387</v>
      </c>
      <c r="Q26" s="1" t="str">
        <f t="shared" ca="1" si="0"/>
        <v/>
      </c>
      <c r="R26" s="1" t="str">
        <f t="shared" ca="1" si="1"/>
        <v/>
      </c>
    </row>
    <row r="27" spans="1:18" ht="15" customHeight="1" x14ac:dyDescent="0.25">
      <c r="A27" s="35" t="s">
        <v>346</v>
      </c>
      <c r="Q27" s="1" t="str">
        <f t="shared" ca="1" si="0"/>
        <v/>
      </c>
      <c r="R27" s="1" t="str">
        <f t="shared" ca="1" si="1"/>
        <v/>
      </c>
    </row>
    <row r="28" spans="1:18" ht="15" customHeight="1" x14ac:dyDescent="0.25">
      <c r="A28" s="32" t="s">
        <v>347</v>
      </c>
      <c r="Q28" s="1" t="str">
        <f t="shared" ca="1" si="0"/>
        <v/>
      </c>
      <c r="R28" s="1" t="str">
        <f t="shared" ca="1" si="1"/>
        <v/>
      </c>
    </row>
    <row r="29" spans="1:18" ht="15" customHeight="1" x14ac:dyDescent="0.25">
      <c r="A29" s="32" t="s">
        <v>350</v>
      </c>
      <c r="Q29" s="1" t="str">
        <f t="shared" ca="1" si="0"/>
        <v/>
      </c>
      <c r="R29" s="1" t="str">
        <f t="shared" ca="1" si="1"/>
        <v/>
      </c>
    </row>
    <row r="30" spans="1:18" ht="15" customHeight="1" x14ac:dyDescent="0.25">
      <c r="A30" s="32" t="s">
        <v>388</v>
      </c>
      <c r="Q30" s="1" t="str">
        <f t="shared" ca="1" si="0"/>
        <v/>
      </c>
      <c r="R30" s="1" t="str">
        <f t="shared" ca="1" si="1"/>
        <v/>
      </c>
    </row>
    <row r="31" spans="1:18" ht="15" customHeight="1" x14ac:dyDescent="0.25">
      <c r="A31" s="32" t="s">
        <v>14</v>
      </c>
      <c r="Q31" s="1" t="str">
        <f t="shared" ca="1" si="0"/>
        <v/>
      </c>
      <c r="R31" s="1" t="str">
        <f t="shared" ca="1" si="1"/>
        <v/>
      </c>
    </row>
    <row r="32" spans="1:18" ht="15" customHeight="1" x14ac:dyDescent="0.25">
      <c r="A32" s="32" t="s">
        <v>15</v>
      </c>
      <c r="Q32" s="1" t="str">
        <f t="shared" ca="1" si="0"/>
        <v/>
      </c>
      <c r="R32" s="1" t="str">
        <f t="shared" ca="1" si="1"/>
        <v/>
      </c>
    </row>
    <row r="33" spans="1:18" ht="15" customHeight="1" x14ac:dyDescent="0.25">
      <c r="A33" s="32" t="s">
        <v>310</v>
      </c>
      <c r="Q33" s="1" t="str">
        <f t="shared" ca="1" si="0"/>
        <v/>
      </c>
      <c r="R33" s="1" t="str">
        <f t="shared" ca="1" si="1"/>
        <v/>
      </c>
    </row>
    <row r="34" spans="1:18" ht="15" customHeight="1" x14ac:dyDescent="0.25">
      <c r="A34" s="32" t="s">
        <v>351</v>
      </c>
      <c r="Q34" s="1" t="str">
        <f t="shared" ref="Q34:Q65" ca="1" si="2">IF(A34="Saulė",TIMEVALUE(RIGHT(OFFSET(A34,1,0),5)),"")</f>
        <v/>
      </c>
      <c r="R34" s="1" t="str">
        <f t="shared" ca="1" si="1"/>
        <v/>
      </c>
    </row>
    <row r="35" spans="1:18" ht="15" customHeight="1" x14ac:dyDescent="0.25">
      <c r="A35" s="32" t="s">
        <v>16</v>
      </c>
      <c r="Q35" s="1" t="str">
        <f t="shared" ca="1" si="2"/>
        <v/>
      </c>
      <c r="R35" s="1" t="str">
        <f t="shared" ca="1" si="1"/>
        <v/>
      </c>
    </row>
    <row r="36" spans="1:18" ht="15" customHeight="1" x14ac:dyDescent="0.25">
      <c r="A36" s="36" t="s">
        <v>17</v>
      </c>
      <c r="Q36" s="1" t="str">
        <f t="shared" ca="1" si="2"/>
        <v/>
      </c>
      <c r="R36" s="1" t="str">
        <f t="shared" ca="1" si="1"/>
        <v/>
      </c>
    </row>
    <row r="37" spans="1:18" ht="15" customHeight="1" x14ac:dyDescent="0.25">
      <c r="A37" s="36" t="s">
        <v>18</v>
      </c>
      <c r="Q37" s="1" t="str">
        <f t="shared" ca="1" si="2"/>
        <v/>
      </c>
      <c r="R37" s="1" t="str">
        <f t="shared" ca="1" si="1"/>
        <v/>
      </c>
    </row>
    <row r="38" spans="1:18" ht="15" customHeight="1" x14ac:dyDescent="0.25">
      <c r="A38" s="36" t="s">
        <v>19</v>
      </c>
      <c r="Q38" s="1" t="str">
        <f t="shared" ca="1" si="2"/>
        <v/>
      </c>
      <c r="R38" s="1" t="str">
        <f t="shared" ca="1" si="1"/>
        <v/>
      </c>
    </row>
    <row r="39" spans="1:18" ht="15" customHeight="1" x14ac:dyDescent="0.25">
      <c r="Q39" s="1" t="str">
        <f t="shared" ca="1" si="2"/>
        <v/>
      </c>
      <c r="R39" s="1" t="str">
        <f t="shared" ca="1" si="1"/>
        <v/>
      </c>
    </row>
    <row r="40" spans="1:18" ht="15" customHeight="1" x14ac:dyDescent="0.25">
      <c r="A40" s="32" t="s">
        <v>20</v>
      </c>
      <c r="Q40" s="1" t="str">
        <f t="shared" ca="1" si="2"/>
        <v/>
      </c>
      <c r="R40" s="1" t="str">
        <f t="shared" ca="1" si="1"/>
        <v/>
      </c>
    </row>
    <row r="41" spans="1:18" ht="15" customHeight="1" x14ac:dyDescent="0.25">
      <c r="A41" s="32" t="s">
        <v>352</v>
      </c>
      <c r="Q41" s="1" t="str">
        <f t="shared" ca="1" si="2"/>
        <v/>
      </c>
      <c r="R41" s="1" t="str">
        <f t="shared" ca="1" si="1"/>
        <v/>
      </c>
    </row>
    <row r="42" spans="1:18" ht="15" customHeight="1" x14ac:dyDescent="0.25">
      <c r="A42" s="32" t="s">
        <v>353</v>
      </c>
      <c r="Q42" s="1" t="str">
        <f t="shared" ca="1" si="2"/>
        <v/>
      </c>
      <c r="R42" s="1" t="str">
        <f t="shared" ca="1" si="1"/>
        <v/>
      </c>
    </row>
    <row r="43" spans="1:18" ht="15" customHeight="1" x14ac:dyDescent="0.25">
      <c r="A43" s="32" t="s">
        <v>354</v>
      </c>
      <c r="Q43" s="1" t="str">
        <f t="shared" ca="1" si="2"/>
        <v/>
      </c>
      <c r="R43" s="1" t="str">
        <f t="shared" ca="1" si="1"/>
        <v/>
      </c>
    </row>
    <row r="44" spans="1:18" ht="15" customHeight="1" x14ac:dyDescent="0.25">
      <c r="A44" s="32" t="s">
        <v>355</v>
      </c>
      <c r="Q44" s="1" t="str">
        <f t="shared" ca="1" si="2"/>
        <v/>
      </c>
      <c r="R44" s="1" t="str">
        <f t="shared" ca="1" si="1"/>
        <v/>
      </c>
    </row>
    <row r="45" spans="1:18" ht="15" customHeight="1" x14ac:dyDescent="0.25">
      <c r="A45" s="32" t="s">
        <v>356</v>
      </c>
      <c r="Q45" s="1" t="str">
        <f t="shared" ca="1" si="2"/>
        <v/>
      </c>
      <c r="R45" s="1" t="str">
        <f t="shared" ca="1" si="1"/>
        <v/>
      </c>
    </row>
    <row r="46" spans="1:18" ht="15" customHeight="1" x14ac:dyDescent="0.25">
      <c r="A46" s="32" t="s">
        <v>49</v>
      </c>
      <c r="Q46" s="1" t="str">
        <f t="shared" ca="1" si="2"/>
        <v/>
      </c>
      <c r="R46" s="1" t="str">
        <f t="shared" ca="1" si="1"/>
        <v/>
      </c>
    </row>
    <row r="47" spans="1:18" ht="15" customHeight="1" x14ac:dyDescent="0.25">
      <c r="A47" s="32" t="s">
        <v>357</v>
      </c>
      <c r="Q47" s="1" t="str">
        <f t="shared" ca="1" si="2"/>
        <v/>
      </c>
      <c r="R47" s="1" t="str">
        <f t="shared" ca="1" si="1"/>
        <v/>
      </c>
    </row>
    <row r="48" spans="1:18" ht="15" customHeight="1" x14ac:dyDescent="0.25">
      <c r="A48" s="32" t="s">
        <v>358</v>
      </c>
      <c r="Q48" s="1" t="str">
        <f t="shared" ca="1" si="2"/>
        <v/>
      </c>
      <c r="R48" s="1" t="str">
        <f t="shared" ca="1" si="1"/>
        <v/>
      </c>
    </row>
    <row r="49" spans="1:18" ht="15" customHeight="1" x14ac:dyDescent="0.25">
      <c r="A49" s="32" t="s">
        <v>308</v>
      </c>
      <c r="Q49" s="1" t="str">
        <f t="shared" ca="1" si="2"/>
        <v/>
      </c>
      <c r="R49" s="1" t="str">
        <f t="shared" ca="1" si="1"/>
        <v/>
      </c>
    </row>
    <row r="50" spans="1:18" ht="15" customHeight="1" x14ac:dyDescent="0.25">
      <c r="A50" s="32" t="s">
        <v>359</v>
      </c>
      <c r="Q50" s="1" t="str">
        <f t="shared" ca="1" si="2"/>
        <v/>
      </c>
      <c r="R50" s="1" t="str">
        <f t="shared" ca="1" si="1"/>
        <v/>
      </c>
    </row>
    <row r="51" spans="1:18" ht="15" customHeight="1" x14ac:dyDescent="0.25">
      <c r="A51" s="32" t="s">
        <v>360</v>
      </c>
      <c r="Q51" s="1" t="str">
        <f t="shared" ca="1" si="2"/>
        <v/>
      </c>
      <c r="R51" s="1" t="str">
        <f t="shared" ca="1" si="1"/>
        <v/>
      </c>
    </row>
    <row r="52" spans="1:18" ht="15" customHeight="1" x14ac:dyDescent="0.25">
      <c r="A52" s="32" t="s">
        <v>361</v>
      </c>
      <c r="J52" s="59" t="str">
        <f t="shared" ref="J52:J61" ca="1" si="3">INDIRECT("A"&amp;MATCH("Orai Kaune",A:A,0)+ROW()-52)</f>
        <v>Orai Kaune</v>
      </c>
      <c r="Q52" s="1" t="str">
        <f t="shared" ca="1" si="2"/>
        <v/>
      </c>
      <c r="R52" s="1" t="str">
        <f t="shared" ca="1" si="1"/>
        <v/>
      </c>
    </row>
    <row r="53" spans="1:18" ht="15" customHeight="1" x14ac:dyDescent="0.25">
      <c r="A53" s="32" t="s">
        <v>362</v>
      </c>
      <c r="J53" s="58" t="str">
        <f t="shared" ca="1" si="3"/>
        <v>Pr</v>
      </c>
      <c r="Q53" s="1" t="str">
        <f t="shared" ca="1" si="2"/>
        <v/>
      </c>
      <c r="R53" s="1" t="str">
        <f t="shared" ca="1" si="1"/>
        <v/>
      </c>
    </row>
    <row r="54" spans="1:18" ht="15" customHeight="1" x14ac:dyDescent="0.25">
      <c r="A54" s="32" t="s">
        <v>311</v>
      </c>
      <c r="J54" s="33" t="str">
        <f t="shared" ca="1" si="3"/>
        <v>23.10</v>
      </c>
      <c r="Q54" s="1" t="str">
        <f t="shared" ca="1" si="2"/>
        <v/>
      </c>
      <c r="R54" s="1" t="str">
        <f t="shared" ca="1" si="1"/>
        <v/>
      </c>
    </row>
    <row r="55" spans="1:18" ht="15" customHeight="1" collapsed="1" x14ac:dyDescent="0.25">
      <c r="A55" s="45" t="s">
        <v>21</v>
      </c>
      <c r="J55" s="33" t="str">
        <f t="shared" ca="1" si="3"/>
        <v>+1+34..+6+43</v>
      </c>
      <c r="Q55" s="1" t="str">
        <f t="shared" ca="1" si="2"/>
        <v/>
      </c>
      <c r="R55" s="1" t="str">
        <f t="shared" ca="1" si="1"/>
        <v/>
      </c>
    </row>
    <row r="56" spans="1:18" x14ac:dyDescent="0.25">
      <c r="A56" s="36" t="s">
        <v>22</v>
      </c>
      <c r="J56" s="58" t="str">
        <f t="shared" ca="1" si="3"/>
        <v>An</v>
      </c>
      <c r="Q56" s="1" t="str">
        <f t="shared" ca="1" si="2"/>
        <v/>
      </c>
      <c r="R56" s="1" t="str">
        <f t="shared" ca="1" si="1"/>
        <v/>
      </c>
    </row>
    <row r="57" spans="1:18" x14ac:dyDescent="0.25">
      <c r="A57" s="32" t="s">
        <v>34</v>
      </c>
      <c r="J57" s="33" t="str">
        <f t="shared" ca="1" si="3"/>
        <v>24.10</v>
      </c>
      <c r="Q57" s="1" t="str">
        <f t="shared" ca="1" si="2"/>
        <v/>
      </c>
      <c r="R57" s="1" t="str">
        <f t="shared" ca="1" si="1"/>
        <v/>
      </c>
    </row>
    <row r="58" spans="1:18" x14ac:dyDescent="0.25">
      <c r="A58" s="37" t="s">
        <v>313</v>
      </c>
      <c r="J58" s="33" t="str">
        <f t="shared" ca="1" si="3"/>
        <v>+1+34..+5+41</v>
      </c>
      <c r="Q58" s="1" t="str">
        <f t="shared" ca="1" si="2"/>
        <v/>
      </c>
      <c r="R58" s="1" t="str">
        <f t="shared" ca="1" si="1"/>
        <v/>
      </c>
    </row>
    <row r="59" spans="1:18" x14ac:dyDescent="0.25">
      <c r="A59" s="37" t="s">
        <v>363</v>
      </c>
      <c r="J59" s="58" t="str">
        <f t="shared" ca="1" si="3"/>
        <v>Tr</v>
      </c>
      <c r="Q59" s="1" t="str">
        <f t="shared" ca="1" si="2"/>
        <v/>
      </c>
      <c r="R59" s="1" t="str">
        <f t="shared" ca="1" si="1"/>
        <v/>
      </c>
    </row>
    <row r="60" spans="1:18" x14ac:dyDescent="0.25">
      <c r="A60" s="37" t="s">
        <v>37</v>
      </c>
      <c r="J60" s="33" t="str">
        <f t="shared" ca="1" si="3"/>
        <v>25.10</v>
      </c>
      <c r="Q60" s="1" t="str">
        <f t="shared" ca="1" si="2"/>
        <v/>
      </c>
      <c r="R60" s="1" t="str">
        <f t="shared" ca="1" si="1"/>
        <v/>
      </c>
    </row>
    <row r="61" spans="1:18" x14ac:dyDescent="0.25">
      <c r="A61" s="37" t="s">
        <v>315</v>
      </c>
      <c r="J61" s="33" t="str">
        <f t="shared" ca="1" si="3"/>
        <v>+2+36..+5+41</v>
      </c>
      <c r="Q61" s="1" t="str">
        <f t="shared" ca="1" si="2"/>
        <v/>
      </c>
      <c r="R61" s="1" t="str">
        <f t="shared" ca="1" si="1"/>
        <v/>
      </c>
    </row>
    <row r="62" spans="1:18" x14ac:dyDescent="0.25">
      <c r="A62" s="37" t="s">
        <v>364</v>
      </c>
      <c r="Q62" s="1" t="str">
        <f t="shared" ca="1" si="2"/>
        <v/>
      </c>
      <c r="R62" s="1" t="str">
        <f t="shared" ca="1" si="1"/>
        <v/>
      </c>
    </row>
    <row r="63" spans="1:18" x14ac:dyDescent="0.25">
      <c r="A63" s="37" t="s">
        <v>40</v>
      </c>
      <c r="J63" s="468" t="str">
        <f>CONCATENATE(56-MATCH("Orai Kaune",A:A,0)," Orai Kaune = ",MATCH("Orai Kaune",A:A,0)," eil.")</f>
        <v>0 Orai Kaune = 56 eil.</v>
      </c>
      <c r="K63" s="469"/>
      <c r="L63" s="470"/>
      <c r="Q63" s="1" t="str">
        <f t="shared" ca="1" si="2"/>
        <v/>
      </c>
      <c r="R63" s="1" t="str">
        <f t="shared" ca="1" si="1"/>
        <v/>
      </c>
    </row>
    <row r="64" spans="1:18" x14ac:dyDescent="0.25">
      <c r="A64" s="37" t="s">
        <v>317</v>
      </c>
      <c r="J64" s="471"/>
      <c r="K64" s="472"/>
      <c r="L64" s="473"/>
      <c r="Q64" s="1" t="str">
        <f t="shared" ca="1" si="2"/>
        <v/>
      </c>
      <c r="R64" s="1" t="str">
        <f t="shared" ca="1" si="1"/>
        <v/>
      </c>
    </row>
    <row r="65" spans="1:18" x14ac:dyDescent="0.25">
      <c r="A65" s="37" t="s">
        <v>365</v>
      </c>
      <c r="J65" s="474"/>
      <c r="K65" s="475"/>
      <c r="L65" s="476"/>
      <c r="Q65" s="1" t="str">
        <f t="shared" ca="1" si="2"/>
        <v/>
      </c>
      <c r="R65" s="1" t="str">
        <f t="shared" ca="1" si="1"/>
        <v/>
      </c>
    </row>
    <row r="66" spans="1:18" x14ac:dyDescent="0.25">
      <c r="A66" s="37"/>
      <c r="B66" s="33" t="s">
        <v>114</v>
      </c>
      <c r="D66" s="33" t="s">
        <v>25</v>
      </c>
      <c r="E66" s="32" t="s">
        <v>26</v>
      </c>
      <c r="F66" s="33" t="s">
        <v>115</v>
      </c>
      <c r="G66" s="32" t="s">
        <v>27</v>
      </c>
      <c r="H66" s="32" t="s">
        <v>28</v>
      </c>
      <c r="J66" s="47" t="s">
        <v>111</v>
      </c>
      <c r="K66" s="47" t="s">
        <v>105</v>
      </c>
      <c r="L66" s="47" t="s">
        <v>104</v>
      </c>
      <c r="M66" s="187" t="s">
        <v>110</v>
      </c>
      <c r="N66" s="188" t="s">
        <v>111</v>
      </c>
      <c r="O66" s="188" t="s">
        <v>104</v>
      </c>
      <c r="P66" s="188" t="s">
        <v>105</v>
      </c>
      <c r="Q66" s="1" t="str">
        <f t="shared" ref="Q66:Q97" ca="1" si="4">IF(A66="Saulė",TIMEVALUE(RIGHT(OFFSET(A66,1,0),5)),"")</f>
        <v/>
      </c>
      <c r="R66" s="1" t="str">
        <f t="shared" ref="R66:R119" ca="1" si="5">IF(A66="Saulė",TIMEVALUE(RIGHT(OFFSET(A66,2,0),5)),"")</f>
        <v/>
      </c>
    </row>
    <row r="67" spans="1:18" x14ac:dyDescent="0.25">
      <c r="A67" s="37"/>
      <c r="F67" s="33" t="s">
        <v>116</v>
      </c>
      <c r="J67" s="46"/>
      <c r="K67" s="46"/>
      <c r="L67" s="38" t="str">
        <f t="shared" ref="L67:L114" ca="1" si="6">INDIRECT("F"&amp;MATCH("Orai Kaune",A:A,0)+ROW()-55)</f>
        <v>PR</v>
      </c>
      <c r="O67" s="50" t="str">
        <f ca="1">VLOOKUP(L67,Atitikmenys!A:B,2,0)</f>
        <v>Ý</v>
      </c>
      <c r="P67" s="19" t="e">
        <f>VLOOKUP(K67,Atitikmenys!A:C,2,0)</f>
        <v>#N/A</v>
      </c>
      <c r="Q67" s="1" t="str">
        <f t="shared" ca="1" si="4"/>
        <v/>
      </c>
      <c r="R67" s="1" t="str">
        <f t="shared" ca="1" si="5"/>
        <v/>
      </c>
    </row>
    <row r="68" spans="1:18" s="12" customFormat="1" x14ac:dyDescent="0.25">
      <c r="A68" s="41">
        <v>0</v>
      </c>
      <c r="B68" s="28" t="s">
        <v>20</v>
      </c>
      <c r="C68" s="6" t="s">
        <v>20</v>
      </c>
      <c r="D68" s="28">
        <f>1+34</f>
        <v>35</v>
      </c>
      <c r="E68" s="6">
        <v>756301008</v>
      </c>
      <c r="F68" s="28" t="s">
        <v>48</v>
      </c>
      <c r="G68" s="6">
        <v>96</v>
      </c>
      <c r="H68" s="6" t="s">
        <v>319</v>
      </c>
      <c r="I68" s="6"/>
      <c r="J68" s="38" t="str">
        <f ca="1">INDIRECT("B"&amp;MATCH("Orai Kaune",A:A,0)+ROW()-56)</f>
        <v>Didelis debesuotumas</v>
      </c>
      <c r="K68" s="38">
        <f ca="1">INDIRECT("D"&amp;MATCH("Orai Kaune",A:A,0)+ROW()-56)</f>
        <v>35</v>
      </c>
      <c r="L68" s="38">
        <f t="shared" ca="1" si="6"/>
        <v>3711</v>
      </c>
      <c r="M68" s="19" t="str">
        <f ca="1">VLOOKUP(J68,Atitikmenys!A:C,2,0)</f>
        <v>ÙÙ</v>
      </c>
      <c r="N68" s="19" t="str">
        <f ca="1">VLOOKUP(J68,Atitikmenys!A:C,3,0)</f>
        <v xml:space="preserve"> </v>
      </c>
      <c r="O68" s="20">
        <f ca="1">VLOOKUP(L68,Atitikmenys!C:D,2,0)</f>
        <v>3</v>
      </c>
      <c r="P68" s="19">
        <f ca="1">VLOOKUP(K68,Atitikmenys!A:C,2,0)</f>
        <v>1</v>
      </c>
      <c r="Q68" s="1" t="str">
        <f t="shared" ca="1" si="4"/>
        <v/>
      </c>
      <c r="R68" s="1" t="str">
        <f t="shared" ca="1" si="5"/>
        <v/>
      </c>
    </row>
    <row r="69" spans="1:18" s="13" customFormat="1" x14ac:dyDescent="0.25">
      <c r="A69" s="41"/>
      <c r="B69" s="28"/>
      <c r="C69" s="6"/>
      <c r="D69" s="28"/>
      <c r="E69" s="6"/>
      <c r="F69" s="28">
        <v>3711</v>
      </c>
      <c r="G69" s="6"/>
      <c r="H69" s="6"/>
      <c r="I69" s="6"/>
      <c r="J69" s="38"/>
      <c r="K69" s="38"/>
      <c r="L69" s="38" t="str">
        <f t="shared" ca="1" si="6"/>
        <v>PR</v>
      </c>
      <c r="M69" s="20"/>
      <c r="N69" s="20"/>
      <c r="O69" s="50" t="str">
        <f ca="1">VLOOKUP(L69,Atitikmenys!A:B,2,0)</f>
        <v>Ý</v>
      </c>
      <c r="P69" s="19" t="e">
        <f>VLOOKUP(K69,Atitikmenys!A:C,2,0)</f>
        <v>#N/A</v>
      </c>
      <c r="Q69" s="1" t="str">
        <f t="shared" ca="1" si="4"/>
        <v/>
      </c>
      <c r="R69" s="1" t="str">
        <f t="shared" ca="1" si="5"/>
        <v/>
      </c>
    </row>
    <row r="70" spans="1:18" s="13" customFormat="1" x14ac:dyDescent="0.25">
      <c r="A70" s="41">
        <v>0.125</v>
      </c>
      <c r="B70" s="28" t="s">
        <v>20</v>
      </c>
      <c r="C70" s="6" t="s">
        <v>20</v>
      </c>
      <c r="D70" s="28">
        <f>2+36</f>
        <v>38</v>
      </c>
      <c r="E70" s="6">
        <v>755301007</v>
      </c>
      <c r="F70" s="28" t="s">
        <v>48</v>
      </c>
      <c r="G70" s="6">
        <v>92</v>
      </c>
      <c r="H70" s="6" t="s">
        <v>319</v>
      </c>
      <c r="I70" s="6"/>
      <c r="J70" s="38" t="str">
        <f ca="1">INDIRECT("B"&amp;MATCH("Orai Kaune",A:A,0)+ROW()-56)</f>
        <v>Didelis debesuotumas</v>
      </c>
      <c r="K70" s="38">
        <f ca="1">INDIRECT("D"&amp;MATCH("Orai Kaune",A:A,0)+ROW()-56)</f>
        <v>38</v>
      </c>
      <c r="L70" s="38">
        <f t="shared" ca="1" si="6"/>
        <v>3711</v>
      </c>
      <c r="M70" s="20" t="str">
        <f ca="1">VLOOKUP(J70,Atitikmenys!A:C,2,0)</f>
        <v>ÙÙ</v>
      </c>
      <c r="N70" s="20" t="str">
        <f ca="1">VLOOKUP(J70,Atitikmenys!A:C,3,0)</f>
        <v xml:space="preserve"> </v>
      </c>
      <c r="O70" s="20">
        <f ca="1">VLOOKUP(L70,Atitikmenys!C:D,2,0)</f>
        <v>3</v>
      </c>
      <c r="P70" s="19">
        <f ca="1">VLOOKUP(K70,Atitikmenys!A:C,2,0)</f>
        <v>2</v>
      </c>
      <c r="Q70" s="1" t="str">
        <f t="shared" ca="1" si="4"/>
        <v/>
      </c>
      <c r="R70" s="1" t="str">
        <f t="shared" ca="1" si="5"/>
        <v/>
      </c>
    </row>
    <row r="71" spans="1:18" s="13" customFormat="1" x14ac:dyDescent="0.25">
      <c r="A71" s="41"/>
      <c r="B71" s="28"/>
      <c r="C71" s="6"/>
      <c r="D71" s="28"/>
      <c r="E71" s="6"/>
      <c r="F71" s="28">
        <v>3711</v>
      </c>
      <c r="G71" s="6"/>
      <c r="H71" s="6"/>
      <c r="I71" s="6"/>
      <c r="J71" s="38"/>
      <c r="K71" s="38"/>
      <c r="L71" s="38" t="str">
        <f t="shared" ca="1" si="6"/>
        <v>R</v>
      </c>
      <c r="M71" s="20"/>
      <c r="N71" s="20"/>
      <c r="O71" s="50" t="str">
        <f ca="1">VLOOKUP(L71,Atitikmenys!A:B,2,0)</f>
        <v>Ù</v>
      </c>
      <c r="P71" s="19" t="e">
        <f>VLOOKUP(K71,Atitikmenys!A:C,2,0)</f>
        <v>#N/A</v>
      </c>
      <c r="Q71" s="1" t="str">
        <f t="shared" ca="1" si="4"/>
        <v/>
      </c>
      <c r="R71" s="1" t="str">
        <f t="shared" ca="1" si="5"/>
        <v/>
      </c>
    </row>
    <row r="72" spans="1:18" s="13" customFormat="1" x14ac:dyDescent="0.25">
      <c r="A72" s="41">
        <v>0.25</v>
      </c>
      <c r="B72" s="28" t="s">
        <v>20</v>
      </c>
      <c r="C72" s="6" t="s">
        <v>20</v>
      </c>
      <c r="D72" s="28">
        <f>2+36</f>
        <v>38</v>
      </c>
      <c r="E72" s="6">
        <v>755301007</v>
      </c>
      <c r="F72" s="28" t="s">
        <v>49</v>
      </c>
      <c r="G72" s="6">
        <v>91</v>
      </c>
      <c r="H72" s="6">
        <f>1+34</f>
        <v>35</v>
      </c>
      <c r="I72" s="6"/>
      <c r="J72" s="38" t="str">
        <f ca="1">INDIRECT("B"&amp;MATCH("Orai Kaune",A:A,0)+ROW()-56)</f>
        <v>Didelis debesuotumas</v>
      </c>
      <c r="K72" s="38">
        <f ca="1">INDIRECT("D"&amp;MATCH("Orai Kaune",A:A,0)+ROW()-56)</f>
        <v>38</v>
      </c>
      <c r="L72" s="38">
        <f t="shared" ca="1" si="6"/>
        <v>3711</v>
      </c>
      <c r="M72" s="20" t="str">
        <f ca="1">VLOOKUP(J72,Atitikmenys!A:C,2,0)</f>
        <v>ÙÙ</v>
      </c>
      <c r="N72" s="20" t="str">
        <f ca="1">VLOOKUP(J72,Atitikmenys!A:C,3,0)</f>
        <v xml:space="preserve"> </v>
      </c>
      <c r="O72" s="20">
        <f ca="1">VLOOKUP(L72,Atitikmenys!C:D,2,0)</f>
        <v>3</v>
      </c>
      <c r="P72" s="19">
        <f ca="1">VLOOKUP(K72,Atitikmenys!A:C,2,0)</f>
        <v>2</v>
      </c>
      <c r="Q72" s="1" t="str">
        <f t="shared" ca="1" si="4"/>
        <v/>
      </c>
      <c r="R72" s="1" t="str">
        <f t="shared" ca="1" si="5"/>
        <v/>
      </c>
    </row>
    <row r="73" spans="1:18" s="13" customFormat="1" x14ac:dyDescent="0.25">
      <c r="A73" s="41"/>
      <c r="B73" s="28"/>
      <c r="C73" s="6"/>
      <c r="D73" s="28"/>
      <c r="E73" s="6"/>
      <c r="F73" s="28">
        <v>3711</v>
      </c>
      <c r="G73" s="6"/>
      <c r="H73" s="6"/>
      <c r="I73" s="6"/>
      <c r="J73" s="38"/>
      <c r="K73" s="38"/>
      <c r="L73" s="38" t="str">
        <f t="shared" ca="1" si="6"/>
        <v>R</v>
      </c>
      <c r="M73" s="20"/>
      <c r="N73" s="20"/>
      <c r="O73" s="50" t="str">
        <f ca="1">VLOOKUP(L73,Atitikmenys!A:B,2,0)</f>
        <v>Ù</v>
      </c>
      <c r="P73" s="19" t="e">
        <f>VLOOKUP(K73,Atitikmenys!A:C,2,0)</f>
        <v>#N/A</v>
      </c>
      <c r="Q73" s="1" t="str">
        <f t="shared" ca="1" si="4"/>
        <v/>
      </c>
      <c r="R73" s="1" t="str">
        <f t="shared" ca="1" si="5"/>
        <v/>
      </c>
    </row>
    <row r="74" spans="1:18" s="13" customFormat="1" x14ac:dyDescent="0.25">
      <c r="A74" s="41">
        <v>0.375</v>
      </c>
      <c r="B74" s="28" t="s">
        <v>20</v>
      </c>
      <c r="C74" s="6" t="s">
        <v>20</v>
      </c>
      <c r="D74" s="28">
        <f>4+39</f>
        <v>43</v>
      </c>
      <c r="E74" s="6">
        <v>760301013</v>
      </c>
      <c r="F74" s="28" t="s">
        <v>49</v>
      </c>
      <c r="G74" s="6">
        <v>80</v>
      </c>
      <c r="H74" s="6">
        <f>2+36</f>
        <v>38</v>
      </c>
      <c r="I74" s="6"/>
      <c r="J74" s="38" t="str">
        <f ca="1">INDIRECT("B"&amp;MATCH("Orai Kaune",A:A,0)+ROW()-56)</f>
        <v>Didelis debesuotumas</v>
      </c>
      <c r="K74" s="38">
        <f ca="1">INDIRECT("D"&amp;MATCH("Orai Kaune",A:A,0)+ROW()-56)</f>
        <v>43</v>
      </c>
      <c r="L74" s="38">
        <f t="shared" ca="1" si="6"/>
        <v>4914</v>
      </c>
      <c r="M74" s="20" t="str">
        <f ca="1">VLOOKUP(J74,Atitikmenys!A:C,2,0)</f>
        <v>ÙÙ</v>
      </c>
      <c r="N74" s="20" t="str">
        <f ca="1">VLOOKUP(J74,Atitikmenys!A:C,3,0)</f>
        <v xml:space="preserve"> </v>
      </c>
      <c r="O74" s="20">
        <f ca="1">VLOOKUP(L74,Atitikmenys!C:D,2,0)</f>
        <v>4</v>
      </c>
      <c r="P74" s="19">
        <f ca="1">VLOOKUP(K74,Atitikmenys!A:C,2,0)</f>
        <v>4</v>
      </c>
      <c r="Q74" s="1" t="str">
        <f t="shared" ca="1" si="4"/>
        <v/>
      </c>
      <c r="R74" s="1" t="str">
        <f t="shared" ca="1" si="5"/>
        <v/>
      </c>
    </row>
    <row r="75" spans="1:18" s="13" customFormat="1" x14ac:dyDescent="0.25">
      <c r="A75" s="41"/>
      <c r="B75" s="28"/>
      <c r="C75" s="6"/>
      <c r="D75" s="28"/>
      <c r="E75" s="6"/>
      <c r="F75" s="28">
        <v>4914</v>
      </c>
      <c r="G75" s="6"/>
      <c r="H75" s="6"/>
      <c r="I75" s="6"/>
      <c r="J75" s="38"/>
      <c r="K75" s="38"/>
      <c r="L75" s="38" t="str">
        <f t="shared" ca="1" si="6"/>
        <v>R</v>
      </c>
      <c r="M75" s="20"/>
      <c r="N75" s="20"/>
      <c r="O75" s="50" t="str">
        <f ca="1">VLOOKUP(L75,Atitikmenys!A:B,2,0)</f>
        <v>Ù</v>
      </c>
      <c r="P75" s="19" t="e">
        <f>VLOOKUP(K75,Atitikmenys!A:C,2,0)</f>
        <v>#N/A</v>
      </c>
      <c r="Q75" s="1" t="str">
        <f t="shared" ca="1" si="4"/>
        <v/>
      </c>
      <c r="R75" s="1" t="str">
        <f t="shared" ca="1" si="5"/>
        <v/>
      </c>
    </row>
    <row r="76" spans="1:18" s="13" customFormat="1" x14ac:dyDescent="0.25">
      <c r="A76" s="41">
        <v>0.5</v>
      </c>
      <c r="B76" s="28" t="s">
        <v>20</v>
      </c>
      <c r="C76" s="6" t="s">
        <v>20</v>
      </c>
      <c r="D76" s="28">
        <f>5+41</f>
        <v>46</v>
      </c>
      <c r="E76" s="6">
        <v>761301015</v>
      </c>
      <c r="F76" s="28" t="s">
        <v>49</v>
      </c>
      <c r="G76" s="6">
        <v>69</v>
      </c>
      <c r="H76" s="6">
        <f>3+37</f>
        <v>40</v>
      </c>
      <c r="I76" s="6"/>
      <c r="J76" s="38" t="str">
        <f ca="1">INDIRECT("B"&amp;MATCH("Orai Kaune",A:A,0)+ROW()-56)</f>
        <v>Didelis debesuotumas</v>
      </c>
      <c r="K76" s="38">
        <f ca="1">INDIRECT("D"&amp;MATCH("Orai Kaune",A:A,0)+ROW()-56)</f>
        <v>46</v>
      </c>
      <c r="L76" s="38">
        <f t="shared" ca="1" si="6"/>
        <v>51118</v>
      </c>
      <c r="M76" s="20" t="str">
        <f ca="1">VLOOKUP(J76,Atitikmenys!A:C,2,0)</f>
        <v>ÙÙ</v>
      </c>
      <c r="N76" s="20" t="str">
        <f ca="1">VLOOKUP(J76,Atitikmenys!A:C,3,0)</f>
        <v xml:space="preserve"> </v>
      </c>
      <c r="O76" s="20">
        <f ca="1">VLOOKUP(L76,Atitikmenys!C:D,2,0)</f>
        <v>5</v>
      </c>
      <c r="P76" s="19">
        <f ca="1">VLOOKUP(K76,Atitikmenys!A:C,2,0)</f>
        <v>5</v>
      </c>
      <c r="Q76" s="1" t="str">
        <f t="shared" ca="1" si="4"/>
        <v/>
      </c>
      <c r="R76" s="1" t="str">
        <f t="shared" ca="1" si="5"/>
        <v/>
      </c>
    </row>
    <row r="77" spans="1:18" s="13" customFormat="1" x14ac:dyDescent="0.25">
      <c r="A77" s="41"/>
      <c r="B77" s="28"/>
      <c r="C77" s="6"/>
      <c r="D77" s="28"/>
      <c r="E77" s="6"/>
      <c r="F77" s="28">
        <v>51118</v>
      </c>
      <c r="G77" s="6"/>
      <c r="H77" s="6"/>
      <c r="I77" s="6"/>
      <c r="J77" s="38"/>
      <c r="K77" s="38"/>
      <c r="L77" s="38" t="str">
        <f t="shared" ca="1" si="6"/>
        <v>R</v>
      </c>
      <c r="M77" s="20"/>
      <c r="N77" s="20"/>
      <c r="O77" s="50" t="str">
        <f ca="1">VLOOKUP(L77,Atitikmenys!A:B,2,0)</f>
        <v>Ù</v>
      </c>
      <c r="P77" s="19" t="e">
        <f>VLOOKUP(K77,Atitikmenys!A:C,2,0)</f>
        <v>#N/A</v>
      </c>
      <c r="Q77" s="1" t="str">
        <f t="shared" ca="1" si="4"/>
        <v/>
      </c>
      <c r="R77" s="1" t="str">
        <f t="shared" ca="1" si="5"/>
        <v/>
      </c>
    </row>
    <row r="78" spans="1:18" s="13" customFormat="1" x14ac:dyDescent="0.25">
      <c r="A78" s="41">
        <v>0.625</v>
      </c>
      <c r="B78" s="28" t="s">
        <v>20</v>
      </c>
      <c r="C78" s="6" t="s">
        <v>20</v>
      </c>
      <c r="D78" s="28">
        <f>6+43</f>
        <v>49</v>
      </c>
      <c r="E78" s="6">
        <v>761301015</v>
      </c>
      <c r="F78" s="28" t="s">
        <v>49</v>
      </c>
      <c r="G78" s="6">
        <v>59</v>
      </c>
      <c r="H78" s="6">
        <f>4+39</f>
        <v>43</v>
      </c>
      <c r="I78" s="6"/>
      <c r="J78" s="38" t="str">
        <f ca="1">INDIRECT("B"&amp;MATCH("Orai Kaune",A:A,0)+ROW()-56)</f>
        <v>Didelis debesuotumas</v>
      </c>
      <c r="K78" s="38">
        <f ca="1">INDIRECT("D"&amp;MATCH("Orai Kaune",A:A,0)+ROW()-56)</f>
        <v>49</v>
      </c>
      <c r="L78" s="38">
        <f t="shared" ca="1" si="6"/>
        <v>51118</v>
      </c>
      <c r="M78" s="20" t="str">
        <f ca="1">VLOOKUP(J78,Atitikmenys!A:C,2,0)</f>
        <v>ÙÙ</v>
      </c>
      <c r="N78" s="20" t="str">
        <f ca="1">VLOOKUP(J78,Atitikmenys!A:C,3,0)</f>
        <v xml:space="preserve"> </v>
      </c>
      <c r="O78" s="20">
        <f ca="1">VLOOKUP(L78,Atitikmenys!C:D,2,0)</f>
        <v>5</v>
      </c>
      <c r="P78" s="19">
        <f ca="1">VLOOKUP(K78,Atitikmenys!A:C,2,0)</f>
        <v>6</v>
      </c>
      <c r="Q78" s="1" t="str">
        <f t="shared" ca="1" si="4"/>
        <v/>
      </c>
      <c r="R78" s="1" t="str">
        <f t="shared" ca="1" si="5"/>
        <v/>
      </c>
    </row>
    <row r="79" spans="1:18" s="13" customFormat="1" x14ac:dyDescent="0.25">
      <c r="A79" s="41"/>
      <c r="B79" s="28"/>
      <c r="C79" s="6"/>
      <c r="D79" s="28"/>
      <c r="E79" s="6"/>
      <c r="F79" s="28">
        <v>51118</v>
      </c>
      <c r="G79" s="6"/>
      <c r="H79" s="6"/>
      <c r="I79" s="6"/>
      <c r="J79" s="38"/>
      <c r="K79" s="38"/>
      <c r="L79" s="38" t="str">
        <f t="shared" ca="1" si="6"/>
        <v>R</v>
      </c>
      <c r="M79" s="20"/>
      <c r="N79" s="20"/>
      <c r="O79" s="50" t="str">
        <f ca="1">VLOOKUP(L79,Atitikmenys!A:B,2,0)</f>
        <v>Ù</v>
      </c>
      <c r="P79" s="19" t="e">
        <f>VLOOKUP(K79,Atitikmenys!A:C,2,0)</f>
        <v>#N/A</v>
      </c>
      <c r="Q79" s="1" t="str">
        <f t="shared" ca="1" si="4"/>
        <v/>
      </c>
      <c r="R79" s="1" t="str">
        <f t="shared" ca="1" si="5"/>
        <v/>
      </c>
    </row>
    <row r="80" spans="1:18" s="13" customFormat="1" x14ac:dyDescent="0.25">
      <c r="A80" s="41">
        <v>0.75</v>
      </c>
      <c r="B80" s="28" t="s">
        <v>20</v>
      </c>
      <c r="C80" s="6" t="s">
        <v>20</v>
      </c>
      <c r="D80" s="28">
        <f>6+43</f>
        <v>49</v>
      </c>
      <c r="E80" s="6">
        <v>762301016</v>
      </c>
      <c r="F80" s="28" t="s">
        <v>49</v>
      </c>
      <c r="G80" s="6">
        <v>61</v>
      </c>
      <c r="H80" s="6">
        <f>4+39</f>
        <v>43</v>
      </c>
      <c r="I80" s="6"/>
      <c r="J80" s="38" t="str">
        <f ca="1">INDIRECT("B"&amp;MATCH("Orai Kaune",A:A,0)+ROW()-56)</f>
        <v>Didelis debesuotumas</v>
      </c>
      <c r="K80" s="38">
        <f ca="1">INDIRECT("D"&amp;MATCH("Orai Kaune",A:A,0)+ROW()-56)</f>
        <v>49</v>
      </c>
      <c r="L80" s="38">
        <f t="shared" ca="1" si="6"/>
        <v>4914</v>
      </c>
      <c r="M80" s="20" t="str">
        <f ca="1">VLOOKUP(J80,Atitikmenys!A:C,2,0)</f>
        <v>ÙÙ</v>
      </c>
      <c r="N80" s="20" t="str">
        <f ca="1">VLOOKUP(J80,Atitikmenys!A:C,3,0)</f>
        <v xml:space="preserve"> </v>
      </c>
      <c r="O80" s="20">
        <f ca="1">VLOOKUP(L80,Atitikmenys!C:D,2,0)</f>
        <v>4</v>
      </c>
      <c r="P80" s="19">
        <f ca="1">VLOOKUP(K80,Atitikmenys!A:C,2,0)</f>
        <v>6</v>
      </c>
      <c r="Q80" s="1" t="str">
        <f t="shared" ca="1" si="4"/>
        <v/>
      </c>
      <c r="R80" s="1" t="str">
        <f t="shared" ca="1" si="5"/>
        <v/>
      </c>
    </row>
    <row r="81" spans="1:18" s="13" customFormat="1" x14ac:dyDescent="0.25">
      <c r="A81" s="41"/>
      <c r="B81" s="28"/>
      <c r="C81" s="6"/>
      <c r="D81" s="28"/>
      <c r="E81" s="6"/>
      <c r="F81" s="28">
        <v>4914</v>
      </c>
      <c r="G81" s="6"/>
      <c r="H81" s="6"/>
      <c r="I81" s="6"/>
      <c r="J81" s="38"/>
      <c r="K81" s="38"/>
      <c r="L81" s="38" t="str">
        <f t="shared" ca="1" si="6"/>
        <v>R</v>
      </c>
      <c r="M81" s="20"/>
      <c r="N81" s="20"/>
      <c r="O81" s="50" t="str">
        <f ca="1">VLOOKUP(L81,Atitikmenys!A:B,2,0)</f>
        <v>Ù</v>
      </c>
      <c r="P81" s="19" t="e">
        <f>VLOOKUP(K81,Atitikmenys!A:C,2,0)</f>
        <v>#N/A</v>
      </c>
      <c r="Q81" s="1" t="str">
        <f t="shared" ca="1" si="4"/>
        <v/>
      </c>
      <c r="R81" s="1" t="str">
        <f t="shared" ca="1" si="5"/>
        <v/>
      </c>
    </row>
    <row r="82" spans="1:18" s="13" customFormat="1" x14ac:dyDescent="0.25">
      <c r="A82" s="41">
        <v>0.875</v>
      </c>
      <c r="B82" s="28" t="s">
        <v>20</v>
      </c>
      <c r="C82" s="6" t="s">
        <v>20</v>
      </c>
      <c r="D82" s="28">
        <f>5+41</f>
        <v>46</v>
      </c>
      <c r="E82" s="6">
        <v>764301019</v>
      </c>
      <c r="F82" s="28" t="s">
        <v>49</v>
      </c>
      <c r="G82" s="6">
        <v>69</v>
      </c>
      <c r="H82" s="6">
        <f>3+37</f>
        <v>40</v>
      </c>
      <c r="I82" s="6"/>
      <c r="J82" s="38" t="str">
        <f ca="1">INDIRECT("B"&amp;MATCH("Orai Kaune",A:A,0)+ROW()-56)</f>
        <v>Didelis debesuotumas</v>
      </c>
      <c r="K82" s="38">
        <f ca="1">INDIRECT("D"&amp;MATCH("Orai Kaune",A:A,0)+ROW()-56)</f>
        <v>46</v>
      </c>
      <c r="L82" s="38">
        <f t="shared" ca="1" si="6"/>
        <v>51118</v>
      </c>
      <c r="M82" s="20" t="str">
        <f ca="1">VLOOKUP(J82,Atitikmenys!A:C,2,0)</f>
        <v>ÙÙ</v>
      </c>
      <c r="N82" s="20" t="str">
        <f ca="1">VLOOKUP(J82,Atitikmenys!A:C,3,0)</f>
        <v xml:space="preserve"> </v>
      </c>
      <c r="O82" s="20">
        <f ca="1">VLOOKUP(L82,Atitikmenys!C:D,2,0)</f>
        <v>5</v>
      </c>
      <c r="P82" s="19">
        <f ca="1">VLOOKUP(K82,Atitikmenys!A:C,2,0)</f>
        <v>5</v>
      </c>
      <c r="Q82" s="1" t="str">
        <f t="shared" ca="1" si="4"/>
        <v/>
      </c>
      <c r="R82" s="1" t="str">
        <f t="shared" ca="1" si="5"/>
        <v/>
      </c>
    </row>
    <row r="83" spans="1:18" s="14" customFormat="1" x14ac:dyDescent="0.25">
      <c r="A83" s="41"/>
      <c r="B83" s="28"/>
      <c r="C83" s="6"/>
      <c r="D83" s="28"/>
      <c r="E83" s="6"/>
      <c r="F83" s="28">
        <v>51118</v>
      </c>
      <c r="G83" s="6"/>
      <c r="H83" s="6"/>
      <c r="I83" s="6"/>
      <c r="J83" s="38"/>
      <c r="K83" s="38"/>
      <c r="L83" s="39" t="str">
        <f t="shared" ca="1" si="6"/>
        <v>R</v>
      </c>
      <c r="M83" s="21"/>
      <c r="N83" s="21"/>
      <c r="O83" s="50" t="str">
        <f ca="1">VLOOKUP(L83,Atitikmenys!A:B,2,0)</f>
        <v>Ù</v>
      </c>
      <c r="P83" s="19" t="e">
        <f>VLOOKUP(K83,Atitikmenys!A:C,2,0)</f>
        <v>#N/A</v>
      </c>
      <c r="Q83" s="1" t="str">
        <f t="shared" ca="1" si="4"/>
        <v/>
      </c>
      <c r="R83" s="1" t="str">
        <f t="shared" ca="1" si="5"/>
        <v/>
      </c>
    </row>
    <row r="84" spans="1:18" s="9" customFormat="1" x14ac:dyDescent="0.25">
      <c r="A84" s="42">
        <v>0</v>
      </c>
      <c r="B84" s="29" t="s">
        <v>24</v>
      </c>
      <c r="C84" s="7" t="s">
        <v>24</v>
      </c>
      <c r="D84" s="29">
        <f>4+39</f>
        <v>43</v>
      </c>
      <c r="E84" s="7">
        <v>765301020</v>
      </c>
      <c r="F84" s="29" t="s">
        <v>49</v>
      </c>
      <c r="G84" s="7">
        <v>71</v>
      </c>
      <c r="H84" s="7">
        <f>2+36</f>
        <v>38</v>
      </c>
      <c r="I84" s="7"/>
      <c r="J84" s="39" t="str">
        <f ca="1">INDIRECT("B"&amp;MATCH("Orai Kaune",A:A,0)+ROW()-56)</f>
        <v>Debesuota</v>
      </c>
      <c r="K84" s="39">
        <f ca="1">INDIRECT("D"&amp;MATCH("Orai Kaune",A:A,0)+ROW()-56)</f>
        <v>43</v>
      </c>
      <c r="L84" s="39">
        <f t="shared" ca="1" si="6"/>
        <v>4914</v>
      </c>
      <c r="M84" s="22" t="str">
        <f ca="1">VLOOKUP(J84,Atitikmenys!A:C,2,0)</f>
        <v>Ù</v>
      </c>
      <c r="N84" s="22" t="str">
        <f ca="1">VLOOKUP(J84,Atitikmenys!A:C,3,0)</f>
        <v xml:space="preserve"> </v>
      </c>
      <c r="O84" s="20">
        <f ca="1">VLOOKUP(L84,Atitikmenys!C:D,2,0)</f>
        <v>4</v>
      </c>
      <c r="P84" s="19">
        <f ca="1">VLOOKUP(K84,Atitikmenys!A:C,2,0)</f>
        <v>4</v>
      </c>
      <c r="Q84" s="1" t="str">
        <f t="shared" ca="1" si="4"/>
        <v/>
      </c>
      <c r="R84" s="1" t="str">
        <f t="shared" ca="1" si="5"/>
        <v/>
      </c>
    </row>
    <row r="85" spans="1:18" s="10" customFormat="1" x14ac:dyDescent="0.25">
      <c r="A85" s="42"/>
      <c r="B85" s="29"/>
      <c r="C85" s="7"/>
      <c r="D85" s="29"/>
      <c r="E85" s="7"/>
      <c r="F85" s="29">
        <v>4914</v>
      </c>
      <c r="G85" s="7"/>
      <c r="H85" s="7"/>
      <c r="I85" s="7"/>
      <c r="J85" s="39"/>
      <c r="K85" s="39"/>
      <c r="L85" s="39" t="str">
        <f t="shared" ca="1" si="6"/>
        <v>R</v>
      </c>
      <c r="M85" s="23"/>
      <c r="N85" s="23"/>
      <c r="O85" s="50" t="str">
        <f ca="1">VLOOKUP(L85,Atitikmenys!A:B,2,0)</f>
        <v>Ù</v>
      </c>
      <c r="P85" s="19" t="e">
        <f>VLOOKUP(K85,Atitikmenys!A:C,2,0)</f>
        <v>#N/A</v>
      </c>
      <c r="Q85" s="1" t="str">
        <f t="shared" ca="1" si="4"/>
        <v/>
      </c>
      <c r="R85" s="1" t="str">
        <f t="shared" ca="1" si="5"/>
        <v/>
      </c>
    </row>
    <row r="86" spans="1:18" s="10" customFormat="1" x14ac:dyDescent="0.25">
      <c r="A86" s="42">
        <v>0.125</v>
      </c>
      <c r="B86" s="29" t="s">
        <v>24</v>
      </c>
      <c r="C86" s="7" t="s">
        <v>24</v>
      </c>
      <c r="D86" s="29">
        <f>3+37</f>
        <v>40</v>
      </c>
      <c r="E86" s="7">
        <v>767301023</v>
      </c>
      <c r="F86" s="29" t="s">
        <v>49</v>
      </c>
      <c r="G86" s="7">
        <v>72</v>
      </c>
      <c r="H86" s="7">
        <f>1+34</f>
        <v>35</v>
      </c>
      <c r="I86" s="7"/>
      <c r="J86" s="39" t="str">
        <f ca="1">INDIRECT("B"&amp;MATCH("Orai Kaune",A:A,0)+ROW()-56)</f>
        <v>Debesuota</v>
      </c>
      <c r="K86" s="39">
        <f ca="1">INDIRECT("D"&amp;MATCH("Orai Kaune",A:A,0)+ROW()-56)</f>
        <v>40</v>
      </c>
      <c r="L86" s="39">
        <f t="shared" ca="1" si="6"/>
        <v>4914</v>
      </c>
      <c r="M86" s="23" t="str">
        <f ca="1">VLOOKUP(J86,Atitikmenys!A:C,2,0)</f>
        <v>Ù</v>
      </c>
      <c r="N86" s="23" t="str">
        <f ca="1">VLOOKUP(J86,Atitikmenys!A:C,3,0)</f>
        <v xml:space="preserve"> </v>
      </c>
      <c r="O86" s="20">
        <f ca="1">VLOOKUP(L86,Atitikmenys!C:D,2,0)</f>
        <v>4</v>
      </c>
      <c r="P86" s="19">
        <f ca="1">VLOOKUP(K86,Atitikmenys!A:C,2,0)</f>
        <v>3</v>
      </c>
      <c r="Q86" s="1" t="str">
        <f t="shared" ca="1" si="4"/>
        <v/>
      </c>
      <c r="R86" s="1" t="str">
        <f t="shared" ca="1" si="5"/>
        <v/>
      </c>
    </row>
    <row r="87" spans="1:18" s="10" customFormat="1" x14ac:dyDescent="0.25">
      <c r="A87" s="42"/>
      <c r="B87" s="29"/>
      <c r="C87" s="7"/>
      <c r="D87" s="29"/>
      <c r="E87" s="7"/>
      <c r="F87" s="29">
        <v>4914</v>
      </c>
      <c r="G87" s="7"/>
      <c r="H87" s="7"/>
      <c r="I87" s="7"/>
      <c r="J87" s="39"/>
      <c r="K87" s="39"/>
      <c r="L87" s="39" t="str">
        <f t="shared" ca="1" si="6"/>
        <v>R</v>
      </c>
      <c r="M87" s="23"/>
      <c r="N87" s="23"/>
      <c r="O87" s="50" t="str">
        <f ca="1">VLOOKUP(L87,Atitikmenys!A:B,2,0)</f>
        <v>Ù</v>
      </c>
      <c r="P87" s="19" t="e">
        <f>VLOOKUP(K87,Atitikmenys!A:C,2,0)</f>
        <v>#N/A</v>
      </c>
      <c r="Q87" s="1" t="str">
        <f t="shared" ca="1" si="4"/>
        <v/>
      </c>
      <c r="R87" s="1" t="str">
        <f t="shared" ca="1" si="5"/>
        <v/>
      </c>
    </row>
    <row r="88" spans="1:18" s="10" customFormat="1" x14ac:dyDescent="0.25">
      <c r="A88" s="42">
        <v>0.25</v>
      </c>
      <c r="B88" s="29" t="s">
        <v>24</v>
      </c>
      <c r="C88" s="7" t="s">
        <v>24</v>
      </c>
      <c r="D88" s="29">
        <f>2+36</f>
        <v>38</v>
      </c>
      <c r="E88" s="7">
        <v>767301023</v>
      </c>
      <c r="F88" s="29" t="s">
        <v>49</v>
      </c>
      <c r="G88" s="7">
        <v>68</v>
      </c>
      <c r="H88" s="7" t="s">
        <v>319</v>
      </c>
      <c r="I88" s="7"/>
      <c r="J88" s="39" t="str">
        <f ca="1">INDIRECT("B"&amp;MATCH("Orai Kaune",A:A,0)+ROW()-56)</f>
        <v>Debesuota</v>
      </c>
      <c r="K88" s="39">
        <f ca="1">INDIRECT("D"&amp;MATCH("Orai Kaune",A:A,0)+ROW()-56)</f>
        <v>38</v>
      </c>
      <c r="L88" s="39">
        <f t="shared" ca="1" si="6"/>
        <v>4914</v>
      </c>
      <c r="M88" s="23" t="str">
        <f ca="1">VLOOKUP(J88,Atitikmenys!A:C,2,0)</f>
        <v>Ù</v>
      </c>
      <c r="N88" s="23" t="str">
        <f ca="1">VLOOKUP(J88,Atitikmenys!A:C,3,0)</f>
        <v xml:space="preserve"> </v>
      </c>
      <c r="O88" s="20">
        <f ca="1">VLOOKUP(L88,Atitikmenys!C:D,2,0)</f>
        <v>4</v>
      </c>
      <c r="P88" s="19">
        <f ca="1">VLOOKUP(K88,Atitikmenys!A:C,2,0)</f>
        <v>2</v>
      </c>
      <c r="Q88" s="1" t="str">
        <f t="shared" ca="1" si="4"/>
        <v/>
      </c>
      <c r="R88" s="1" t="str">
        <f t="shared" ca="1" si="5"/>
        <v/>
      </c>
    </row>
    <row r="89" spans="1:18" s="10" customFormat="1" x14ac:dyDescent="0.25">
      <c r="A89" s="42"/>
      <c r="B89" s="29"/>
      <c r="C89" s="7"/>
      <c r="D89" s="29"/>
      <c r="E89" s="7"/>
      <c r="F89" s="29">
        <v>4914</v>
      </c>
      <c r="G89" s="7"/>
      <c r="H89" s="7"/>
      <c r="I89" s="7"/>
      <c r="J89" s="39"/>
      <c r="K89" s="39"/>
      <c r="L89" s="39" t="str">
        <f t="shared" ca="1" si="6"/>
        <v>R</v>
      </c>
      <c r="M89" s="23"/>
      <c r="N89" s="23"/>
      <c r="O89" s="50" t="str">
        <f ca="1">VLOOKUP(L89,Atitikmenys!A:B,2,0)</f>
        <v>Ù</v>
      </c>
      <c r="P89" s="19" t="e">
        <f>VLOOKUP(K89,Atitikmenys!A:C,2,0)</f>
        <v>#N/A</v>
      </c>
      <c r="Q89" s="1" t="str">
        <f t="shared" ca="1" si="4"/>
        <v/>
      </c>
      <c r="R89" s="1" t="str">
        <f t="shared" ca="1" si="5"/>
        <v/>
      </c>
    </row>
    <row r="90" spans="1:18" s="10" customFormat="1" x14ac:dyDescent="0.25">
      <c r="A90" s="42">
        <v>0.375</v>
      </c>
      <c r="B90" s="29" t="s">
        <v>47</v>
      </c>
      <c r="C90" s="7" t="s">
        <v>47</v>
      </c>
      <c r="D90" s="29">
        <f>1+34</f>
        <v>35</v>
      </c>
      <c r="E90" s="7">
        <v>769301025</v>
      </c>
      <c r="F90" s="29" t="s">
        <v>49</v>
      </c>
      <c r="G90" s="7">
        <v>83</v>
      </c>
      <c r="H90" s="7" t="s">
        <v>319</v>
      </c>
      <c r="I90" s="7"/>
      <c r="J90" s="39" t="str">
        <f ca="1">INDIRECT("B"&amp;MATCH("Orai Kaune",A:A,0)+ROW()-56)</f>
        <v>Mažas debesuotumas</v>
      </c>
      <c r="K90" s="39">
        <f ca="1">INDIRECT("D"&amp;MATCH("Orai Kaune",A:A,0)+ROW()-56)</f>
        <v>35</v>
      </c>
      <c r="L90" s="39">
        <f t="shared" ca="1" si="6"/>
        <v>3711</v>
      </c>
      <c r="M90" s="23" t="str">
        <f ca="1">VLOOKUP(J90,Atitikmenys!A:C,2,0)</f>
        <v>Ö</v>
      </c>
      <c r="N90" s="23" t="str">
        <f ca="1">VLOOKUP(J90,Atitikmenys!A:C,3,0)</f>
        <v xml:space="preserve"> </v>
      </c>
      <c r="O90" s="20">
        <f ca="1">VLOOKUP(L90,Atitikmenys!C:D,2,0)</f>
        <v>3</v>
      </c>
      <c r="P90" s="19">
        <f ca="1">VLOOKUP(K90,Atitikmenys!A:C,2,0)</f>
        <v>1</v>
      </c>
      <c r="Q90" s="1" t="str">
        <f t="shared" ca="1" si="4"/>
        <v/>
      </c>
      <c r="R90" s="1" t="str">
        <f t="shared" ca="1" si="5"/>
        <v/>
      </c>
    </row>
    <row r="91" spans="1:18" s="10" customFormat="1" x14ac:dyDescent="0.25">
      <c r="A91" s="42"/>
      <c r="B91" s="29"/>
      <c r="C91" s="7"/>
      <c r="D91" s="29"/>
      <c r="E91" s="7"/>
      <c r="F91" s="29">
        <v>3711</v>
      </c>
      <c r="G91" s="7"/>
      <c r="H91" s="7"/>
      <c r="I91" s="7"/>
      <c r="J91" s="39"/>
      <c r="K91" s="39"/>
      <c r="L91" s="39" t="str">
        <f t="shared" ca="1" si="6"/>
        <v>PR</v>
      </c>
      <c r="M91" s="23"/>
      <c r="N91" s="23"/>
      <c r="O91" s="50" t="str">
        <f ca="1">VLOOKUP(L91,Atitikmenys!A:B,2,0)</f>
        <v>Ý</v>
      </c>
      <c r="P91" s="19" t="e">
        <f>VLOOKUP(K91,Atitikmenys!A:C,2,0)</f>
        <v>#N/A</v>
      </c>
      <c r="Q91" s="1" t="str">
        <f t="shared" ca="1" si="4"/>
        <v/>
      </c>
      <c r="R91" s="1" t="str">
        <f t="shared" ca="1" si="5"/>
        <v/>
      </c>
    </row>
    <row r="92" spans="1:18" s="10" customFormat="1" x14ac:dyDescent="0.25">
      <c r="A92" s="42">
        <v>0.5</v>
      </c>
      <c r="B92" s="29" t="s">
        <v>47</v>
      </c>
      <c r="C92" s="7" t="s">
        <v>47</v>
      </c>
      <c r="D92" s="29">
        <f>4+39</f>
        <v>43</v>
      </c>
      <c r="E92" s="7">
        <v>770301027</v>
      </c>
      <c r="F92" s="29" t="s">
        <v>48</v>
      </c>
      <c r="G92" s="7">
        <v>65</v>
      </c>
      <c r="H92" s="7">
        <f>2+36</f>
        <v>38</v>
      </c>
      <c r="I92" s="7"/>
      <c r="J92" s="39" t="str">
        <f ca="1">INDIRECT("B"&amp;MATCH("Orai Kaune",A:A,0)+ROW()-56)</f>
        <v>Mažas debesuotumas</v>
      </c>
      <c r="K92" s="39">
        <f ca="1">INDIRECT("D"&amp;MATCH("Orai Kaune",A:A,0)+ROW()-56)</f>
        <v>43</v>
      </c>
      <c r="L92" s="39">
        <f t="shared" ca="1" si="6"/>
        <v>4914</v>
      </c>
      <c r="M92" s="23" t="str">
        <f ca="1">VLOOKUP(J92,Atitikmenys!A:C,2,0)</f>
        <v>Ö</v>
      </c>
      <c r="N92" s="23" t="str">
        <f ca="1">VLOOKUP(J92,Atitikmenys!A:C,3,0)</f>
        <v xml:space="preserve"> </v>
      </c>
      <c r="O92" s="20">
        <f ca="1">VLOOKUP(L92,Atitikmenys!C:D,2,0)</f>
        <v>4</v>
      </c>
      <c r="P92" s="19">
        <f ca="1">VLOOKUP(K92,Atitikmenys!A:C,2,0)</f>
        <v>4</v>
      </c>
      <c r="Q92" s="1" t="str">
        <f t="shared" ca="1" si="4"/>
        <v/>
      </c>
      <c r="R92" s="1" t="str">
        <f t="shared" ca="1" si="5"/>
        <v/>
      </c>
    </row>
    <row r="93" spans="1:18" s="10" customFormat="1" x14ac:dyDescent="0.25">
      <c r="A93" s="42"/>
      <c r="B93" s="29"/>
      <c r="C93" s="7"/>
      <c r="D93" s="29"/>
      <c r="E93" s="7"/>
      <c r="F93" s="29">
        <v>4914</v>
      </c>
      <c r="G93" s="7"/>
      <c r="H93" s="7"/>
      <c r="I93" s="7"/>
      <c r="J93" s="39"/>
      <c r="K93" s="39"/>
      <c r="L93" s="39" t="str">
        <f t="shared" ca="1" si="6"/>
        <v>PR</v>
      </c>
      <c r="M93" s="23"/>
      <c r="N93" s="26"/>
      <c r="O93" s="50" t="str">
        <f ca="1">VLOOKUP(L93,Atitikmenys!A:B,2,0)</f>
        <v>Ý</v>
      </c>
      <c r="P93" s="19" t="e">
        <f>VLOOKUP(K93,Atitikmenys!A:C,2,0)</f>
        <v>#N/A</v>
      </c>
      <c r="Q93" s="1" t="str">
        <f t="shared" ca="1" si="4"/>
        <v/>
      </c>
      <c r="R93" s="1" t="str">
        <f t="shared" ca="1" si="5"/>
        <v/>
      </c>
    </row>
    <row r="94" spans="1:18" s="10" customFormat="1" x14ac:dyDescent="0.25">
      <c r="A94" s="42">
        <v>0.625</v>
      </c>
      <c r="B94" s="29" t="s">
        <v>20</v>
      </c>
      <c r="C94" s="7" t="s">
        <v>20</v>
      </c>
      <c r="D94" s="29">
        <f>5+41</f>
        <v>46</v>
      </c>
      <c r="E94" s="7">
        <v>769301025</v>
      </c>
      <c r="F94" s="29" t="s">
        <v>48</v>
      </c>
      <c r="G94" s="7">
        <v>54</v>
      </c>
      <c r="H94" s="7">
        <f>3+37</f>
        <v>40</v>
      </c>
      <c r="I94" s="7"/>
      <c r="J94" s="39" t="str">
        <f ca="1">INDIRECT("B"&amp;MATCH("Orai Kaune",A:A,0)+ROW()-56)</f>
        <v>Didelis debesuotumas</v>
      </c>
      <c r="K94" s="39">
        <f ca="1">INDIRECT("D"&amp;MATCH("Orai Kaune",A:A,0)+ROW()-56)</f>
        <v>46</v>
      </c>
      <c r="L94" s="39">
        <f t="shared" ca="1" si="6"/>
        <v>4914</v>
      </c>
      <c r="M94" s="23" t="str">
        <f ca="1">VLOOKUP(J94,Atitikmenys!A:C,2,0)</f>
        <v>ÙÙ</v>
      </c>
      <c r="N94" s="26" t="str">
        <f ca="1">VLOOKUP(J94,Atitikmenys!A:C,3,0)</f>
        <v xml:space="preserve"> </v>
      </c>
      <c r="O94" s="20">
        <f ca="1">VLOOKUP(L94,Atitikmenys!C:D,2,0)</f>
        <v>4</v>
      </c>
      <c r="P94" s="19">
        <f ca="1">VLOOKUP(K94,Atitikmenys!A:C,2,0)</f>
        <v>5</v>
      </c>
      <c r="Q94" s="1" t="str">
        <f t="shared" ca="1" si="4"/>
        <v/>
      </c>
      <c r="R94" s="1" t="str">
        <f t="shared" ca="1" si="5"/>
        <v/>
      </c>
    </row>
    <row r="95" spans="1:18" s="10" customFormat="1" x14ac:dyDescent="0.25">
      <c r="A95" s="42"/>
      <c r="B95" s="29"/>
      <c r="C95" s="7"/>
      <c r="D95" s="29"/>
      <c r="E95" s="7"/>
      <c r="F95" s="29">
        <v>4914</v>
      </c>
      <c r="G95" s="7"/>
      <c r="H95" s="7"/>
      <c r="I95" s="7"/>
      <c r="J95" s="39"/>
      <c r="K95" s="39"/>
      <c r="L95" s="39" t="str">
        <f t="shared" ca="1" si="6"/>
        <v>PR</v>
      </c>
      <c r="M95" s="23"/>
      <c r="N95" s="26"/>
      <c r="O95" s="50" t="str">
        <f ca="1">VLOOKUP(L95,Atitikmenys!A:B,2,0)</f>
        <v>Ý</v>
      </c>
      <c r="P95" s="19" t="e">
        <f>VLOOKUP(K95,Atitikmenys!A:C,2,0)</f>
        <v>#N/A</v>
      </c>
      <c r="Q95" s="1" t="str">
        <f t="shared" ca="1" si="4"/>
        <v/>
      </c>
      <c r="R95" s="1" t="str">
        <f t="shared" ca="1" si="5"/>
        <v/>
      </c>
    </row>
    <row r="96" spans="1:18" s="10" customFormat="1" x14ac:dyDescent="0.25">
      <c r="A96" s="42">
        <v>0.75</v>
      </c>
      <c r="B96" s="29" t="s">
        <v>20</v>
      </c>
      <c r="C96" s="7" t="s">
        <v>20</v>
      </c>
      <c r="D96" s="29">
        <f>4+39</f>
        <v>43</v>
      </c>
      <c r="E96" s="7">
        <v>770301027</v>
      </c>
      <c r="F96" s="29" t="s">
        <v>48</v>
      </c>
      <c r="G96" s="7">
        <v>57</v>
      </c>
      <c r="H96" s="7">
        <f>3+37</f>
        <v>40</v>
      </c>
      <c r="I96" s="7"/>
      <c r="J96" s="39" t="str">
        <f ca="1">INDIRECT("B"&amp;MATCH("Orai Kaune",A:A,0)+ROW()-56)</f>
        <v>Didelis debesuotumas</v>
      </c>
      <c r="K96" s="39">
        <f ca="1">INDIRECT("D"&amp;MATCH("Orai Kaune",A:A,0)+ROW()-56)</f>
        <v>43</v>
      </c>
      <c r="L96" s="39">
        <f t="shared" ca="1" si="6"/>
        <v>3711</v>
      </c>
      <c r="M96" s="23" t="str">
        <f ca="1">VLOOKUP(J96,Atitikmenys!A:C,2,0)</f>
        <v>ÙÙ</v>
      </c>
      <c r="N96" s="26" t="str">
        <f ca="1">VLOOKUP(J96,Atitikmenys!A:C,3,0)</f>
        <v xml:space="preserve"> </v>
      </c>
      <c r="O96" s="20">
        <f ca="1">VLOOKUP(L96,Atitikmenys!C:D,2,0)</f>
        <v>3</v>
      </c>
      <c r="P96" s="19">
        <f ca="1">VLOOKUP(K96,Atitikmenys!A:C,2,0)</f>
        <v>4</v>
      </c>
      <c r="Q96" s="1" t="str">
        <f t="shared" ca="1" si="4"/>
        <v/>
      </c>
      <c r="R96" s="1" t="str">
        <f t="shared" ca="1" si="5"/>
        <v/>
      </c>
    </row>
    <row r="97" spans="1:18" s="10" customFormat="1" x14ac:dyDescent="0.25">
      <c r="A97" s="42"/>
      <c r="B97" s="29"/>
      <c r="C97" s="7"/>
      <c r="D97" s="29"/>
      <c r="E97" s="7"/>
      <c r="F97" s="29">
        <v>3711</v>
      </c>
      <c r="G97" s="7"/>
      <c r="H97" s="7"/>
      <c r="I97" s="7"/>
      <c r="J97" s="39"/>
      <c r="K97" s="39"/>
      <c r="L97" s="39" t="str">
        <f t="shared" ca="1" si="6"/>
        <v>PR</v>
      </c>
      <c r="M97" s="23"/>
      <c r="N97" s="26"/>
      <c r="O97" s="50" t="str">
        <f ca="1">VLOOKUP(L97,Atitikmenys!A:B,2,0)</f>
        <v>Ý</v>
      </c>
      <c r="P97" s="19" t="e">
        <f>VLOOKUP(K97,Atitikmenys!A:C,2,0)</f>
        <v>#N/A</v>
      </c>
      <c r="Q97" s="1" t="str">
        <f t="shared" ca="1" si="4"/>
        <v/>
      </c>
      <c r="R97" s="1" t="str">
        <f t="shared" ca="1" si="5"/>
        <v/>
      </c>
    </row>
    <row r="98" spans="1:18" s="10" customFormat="1" x14ac:dyDescent="0.25">
      <c r="A98" s="42">
        <v>0.875</v>
      </c>
      <c r="B98" s="29" t="s">
        <v>20</v>
      </c>
      <c r="C98" s="7" t="s">
        <v>20</v>
      </c>
      <c r="D98" s="29">
        <f>3+37</f>
        <v>40</v>
      </c>
      <c r="E98" s="7">
        <v>770301027</v>
      </c>
      <c r="F98" s="29" t="s">
        <v>48</v>
      </c>
      <c r="G98" s="7">
        <v>63</v>
      </c>
      <c r="H98" s="7">
        <f>3+37</f>
        <v>40</v>
      </c>
      <c r="I98" s="7"/>
      <c r="J98" s="39" t="str">
        <f ca="1">INDIRECT("B"&amp;MATCH("Orai Kaune",A:A,0)+ROW()-56)</f>
        <v>Didelis debesuotumas</v>
      </c>
      <c r="K98" s="39">
        <f ca="1">INDIRECT("D"&amp;MATCH("Orai Kaune",A:A,0)+ROW()-56)</f>
        <v>40</v>
      </c>
      <c r="L98" s="39">
        <f t="shared" ca="1" si="6"/>
        <v>247</v>
      </c>
      <c r="M98" s="23" t="str">
        <f ca="1">VLOOKUP(J98,Atitikmenys!A:C,2,0)</f>
        <v>ÙÙ</v>
      </c>
      <c r="N98" s="26" t="str">
        <f ca="1">VLOOKUP(J98,Atitikmenys!A:C,3,0)</f>
        <v xml:space="preserve"> </v>
      </c>
      <c r="O98" s="20">
        <f ca="1">VLOOKUP(L98,Atitikmenys!C:D,2,0)</f>
        <v>2</v>
      </c>
      <c r="P98" s="19">
        <f ca="1">VLOOKUP(K98,Atitikmenys!A:C,2,0)</f>
        <v>3</v>
      </c>
      <c r="Q98" s="1" t="str">
        <f t="shared" ref="Q98:Q129" ca="1" si="7">IF(A98="Saulė",TIMEVALUE(RIGHT(OFFSET(A98,1,0),5)),"")</f>
        <v/>
      </c>
      <c r="R98" s="1" t="str">
        <f t="shared" ca="1" si="5"/>
        <v/>
      </c>
    </row>
    <row r="99" spans="1:18" s="11" customFormat="1" x14ac:dyDescent="0.25">
      <c r="A99" s="42"/>
      <c r="B99" s="29"/>
      <c r="C99" s="7"/>
      <c r="D99" s="29"/>
      <c r="E99" s="7"/>
      <c r="F99" s="29">
        <v>247</v>
      </c>
      <c r="G99" s="7"/>
      <c r="H99" s="7"/>
      <c r="I99" s="7"/>
      <c r="J99" s="39"/>
      <c r="K99" s="39"/>
      <c r="L99" s="40" t="str">
        <f t="shared" ca="1" si="6"/>
        <v>PR</v>
      </c>
      <c r="M99" s="24"/>
      <c r="N99" s="26"/>
      <c r="O99" s="50" t="str">
        <f ca="1">VLOOKUP(L99,Atitikmenys!A:B,2,0)</f>
        <v>Ý</v>
      </c>
      <c r="P99" s="19" t="e">
        <f>VLOOKUP(K99,Atitikmenys!A:C,2,0)</f>
        <v>#N/A</v>
      </c>
      <c r="Q99" s="1" t="str">
        <f t="shared" ca="1" si="7"/>
        <v/>
      </c>
      <c r="R99" s="1" t="str">
        <f t="shared" ca="1" si="5"/>
        <v/>
      </c>
    </row>
    <row r="100" spans="1:18" s="15" customFormat="1" x14ac:dyDescent="0.25">
      <c r="A100" s="43">
        <v>0</v>
      </c>
      <c r="B100" s="30" t="s">
        <v>24</v>
      </c>
      <c r="C100" s="8" t="s">
        <v>24</v>
      </c>
      <c r="D100" s="30">
        <f>3+37</f>
        <v>40</v>
      </c>
      <c r="E100" s="8">
        <v>769301025</v>
      </c>
      <c r="F100" s="30" t="s">
        <v>48</v>
      </c>
      <c r="G100" s="8">
        <v>65</v>
      </c>
      <c r="H100" s="8">
        <f>1+34</f>
        <v>35</v>
      </c>
      <c r="I100" s="8"/>
      <c r="J100" s="40" t="str">
        <f ca="1">INDIRECT("B"&amp;MATCH("Orai Kaune",A:A,0)+ROW()-56)</f>
        <v>Debesuota</v>
      </c>
      <c r="K100" s="40">
        <f ca="1">INDIRECT("D"&amp;MATCH("Orai Kaune",A:A,0)+ROW()-56)</f>
        <v>40</v>
      </c>
      <c r="L100" s="40">
        <f t="shared" ca="1" si="6"/>
        <v>4914</v>
      </c>
      <c r="M100" s="25" t="str">
        <f ca="1">VLOOKUP(J100,Atitikmenys!A:C,2,0)</f>
        <v>Ù</v>
      </c>
      <c r="N100" s="26" t="str">
        <f ca="1">VLOOKUP(J100,Atitikmenys!A:C,3,0)</f>
        <v xml:space="preserve"> </v>
      </c>
      <c r="O100" s="20">
        <f ca="1">VLOOKUP(L100,Atitikmenys!C:D,2,0)</f>
        <v>4</v>
      </c>
      <c r="P100" s="19">
        <f ca="1">VLOOKUP(K100,Atitikmenys!A:C,2,0)</f>
        <v>3</v>
      </c>
      <c r="Q100" s="1" t="str">
        <f t="shared" ca="1" si="7"/>
        <v/>
      </c>
      <c r="R100" s="1" t="str">
        <f t="shared" ca="1" si="5"/>
        <v/>
      </c>
    </row>
    <row r="101" spans="1:18" s="16" customFormat="1" x14ac:dyDescent="0.25">
      <c r="A101" s="43"/>
      <c r="B101" s="30"/>
      <c r="C101" s="8"/>
      <c r="D101" s="30"/>
      <c r="E101" s="8"/>
      <c r="F101" s="30">
        <v>4914</v>
      </c>
      <c r="G101" s="8"/>
      <c r="H101" s="8"/>
      <c r="I101" s="8"/>
      <c r="J101" s="40"/>
      <c r="K101" s="40"/>
      <c r="L101" s="40" t="str">
        <f t="shared" ca="1" si="6"/>
        <v>PR</v>
      </c>
      <c r="M101" s="26"/>
      <c r="N101" s="26"/>
      <c r="O101" s="50" t="str">
        <f ca="1">VLOOKUP(L101,Atitikmenys!A:B,2,0)</f>
        <v>Ý</v>
      </c>
      <c r="P101" s="19" t="e">
        <f>VLOOKUP(K101,Atitikmenys!A:C,2,0)</f>
        <v>#N/A</v>
      </c>
      <c r="Q101" s="1" t="str">
        <f t="shared" ca="1" si="7"/>
        <v/>
      </c>
      <c r="R101" s="1" t="str">
        <f t="shared" ca="1" si="5"/>
        <v/>
      </c>
    </row>
    <row r="102" spans="1:18" s="16" customFormat="1" x14ac:dyDescent="0.25">
      <c r="A102" s="43">
        <v>0.125</v>
      </c>
      <c r="B102" s="30" t="s">
        <v>47</v>
      </c>
      <c r="C102" s="8" t="s">
        <v>47</v>
      </c>
      <c r="D102" s="30">
        <f>2+36</f>
        <v>38</v>
      </c>
      <c r="E102" s="8">
        <v>769301025</v>
      </c>
      <c r="F102" s="30" t="s">
        <v>48</v>
      </c>
      <c r="G102" s="8">
        <v>68</v>
      </c>
      <c r="H102" s="8" t="s">
        <v>319</v>
      </c>
      <c r="I102" s="8"/>
      <c r="J102" s="40" t="str">
        <f ca="1">INDIRECT("B"&amp;MATCH("Orai Kaune",A:A,0)+ROW()-56)</f>
        <v>Mažas debesuotumas</v>
      </c>
      <c r="K102" s="40">
        <f ca="1">INDIRECT("D"&amp;MATCH("Orai Kaune",A:A,0)+ROW()-56)</f>
        <v>38</v>
      </c>
      <c r="L102" s="40">
        <f t="shared" ca="1" si="6"/>
        <v>4914</v>
      </c>
      <c r="M102" s="26" t="str">
        <f ca="1">VLOOKUP(J102,Atitikmenys!A:C,2,0)</f>
        <v>Ö</v>
      </c>
      <c r="N102" s="26" t="str">
        <f ca="1">VLOOKUP(J102,Atitikmenys!A:C,3,0)</f>
        <v xml:space="preserve"> </v>
      </c>
      <c r="O102" s="20">
        <f ca="1">VLOOKUP(L102,Atitikmenys!C:D,2,0)</f>
        <v>4</v>
      </c>
      <c r="P102" s="19">
        <f ca="1">VLOOKUP(K102,Atitikmenys!A:C,2,0)</f>
        <v>2</v>
      </c>
      <c r="Q102" s="1" t="str">
        <f t="shared" ca="1" si="7"/>
        <v/>
      </c>
      <c r="R102" s="1" t="str">
        <f t="shared" ca="1" si="5"/>
        <v/>
      </c>
    </row>
    <row r="103" spans="1:18" s="16" customFormat="1" x14ac:dyDescent="0.25">
      <c r="A103" s="43"/>
      <c r="B103" s="30"/>
      <c r="C103" s="8"/>
      <c r="D103" s="30"/>
      <c r="E103" s="8"/>
      <c r="F103" s="30">
        <v>4914</v>
      </c>
      <c r="G103" s="8"/>
      <c r="H103" s="8"/>
      <c r="I103" s="8"/>
      <c r="J103" s="40"/>
      <c r="K103" s="40"/>
      <c r="L103" s="40" t="str">
        <f t="shared" ca="1" si="6"/>
        <v>PR</v>
      </c>
      <c r="M103" s="26"/>
      <c r="N103" s="26"/>
      <c r="O103" s="50" t="str">
        <f ca="1">VLOOKUP(L103,Atitikmenys!A:B,2,0)</f>
        <v>Ý</v>
      </c>
      <c r="P103" s="19" t="e">
        <f>VLOOKUP(K103,Atitikmenys!A:C,2,0)</f>
        <v>#N/A</v>
      </c>
      <c r="Q103" s="1" t="str">
        <f t="shared" ca="1" si="7"/>
        <v/>
      </c>
      <c r="R103" s="1" t="str">
        <f t="shared" ca="1" si="5"/>
        <v/>
      </c>
    </row>
    <row r="104" spans="1:18" s="16" customFormat="1" x14ac:dyDescent="0.25">
      <c r="A104" s="43">
        <v>0.25</v>
      </c>
      <c r="B104" s="30" t="s">
        <v>24</v>
      </c>
      <c r="C104" s="8" t="s">
        <v>24</v>
      </c>
      <c r="D104" s="30">
        <f>2+36</f>
        <v>38</v>
      </c>
      <c r="E104" s="8">
        <v>768301024</v>
      </c>
      <c r="F104" s="30" t="s">
        <v>48</v>
      </c>
      <c r="G104" s="8">
        <v>67</v>
      </c>
      <c r="H104" s="8" t="s">
        <v>322</v>
      </c>
      <c r="I104" s="8"/>
      <c r="J104" s="40" t="str">
        <f ca="1">INDIRECT("B"&amp;MATCH("Orai Kaune",A:A,0)+ROW()-56)</f>
        <v>Debesuota</v>
      </c>
      <c r="K104" s="40">
        <f ca="1">INDIRECT("D"&amp;MATCH("Orai Kaune",A:A,0)+ROW()-56)</f>
        <v>38</v>
      </c>
      <c r="L104" s="40">
        <f t="shared" ca="1" si="6"/>
        <v>4914</v>
      </c>
      <c r="M104" s="26" t="str">
        <f ca="1">VLOOKUP(J104,Atitikmenys!A:C,2,0)</f>
        <v>Ù</v>
      </c>
      <c r="N104" s="26" t="str">
        <f ca="1">VLOOKUP(J104,Atitikmenys!A:C,3,0)</f>
        <v xml:space="preserve"> </v>
      </c>
      <c r="O104" s="20">
        <f ca="1">VLOOKUP(L104,Atitikmenys!C:D,2,0)</f>
        <v>4</v>
      </c>
      <c r="P104" s="19">
        <f ca="1">VLOOKUP(K104,Atitikmenys!A:C,2,0)</f>
        <v>2</v>
      </c>
      <c r="Q104" s="1" t="str">
        <f t="shared" ca="1" si="7"/>
        <v/>
      </c>
      <c r="R104" s="1" t="str">
        <f t="shared" ca="1" si="5"/>
        <v/>
      </c>
    </row>
    <row r="105" spans="1:18" s="16" customFormat="1" x14ac:dyDescent="0.25">
      <c r="A105" s="43"/>
      <c r="B105" s="30"/>
      <c r="C105" s="8"/>
      <c r="D105" s="30"/>
      <c r="E105" s="8"/>
      <c r="F105" s="30">
        <v>4914</v>
      </c>
      <c r="G105" s="8"/>
      <c r="H105" s="8"/>
      <c r="I105" s="8"/>
      <c r="J105" s="40"/>
      <c r="K105" s="40"/>
      <c r="L105" s="40" t="str">
        <f t="shared" ca="1" si="6"/>
        <v>PR</v>
      </c>
      <c r="M105" s="26"/>
      <c r="N105" s="26"/>
      <c r="O105" s="50" t="str">
        <f ca="1">VLOOKUP(L105,Atitikmenys!A:B,2,0)</f>
        <v>Ý</v>
      </c>
      <c r="P105" s="19" t="e">
        <f>VLOOKUP(K105,Atitikmenys!A:C,2,0)</f>
        <v>#N/A</v>
      </c>
      <c r="Q105" s="1" t="str">
        <f t="shared" ca="1" si="7"/>
        <v/>
      </c>
      <c r="R105" s="1" t="str">
        <f t="shared" ca="1" si="5"/>
        <v/>
      </c>
    </row>
    <row r="106" spans="1:18" s="16" customFormat="1" x14ac:dyDescent="0.25">
      <c r="A106" s="43">
        <v>0.375</v>
      </c>
      <c r="B106" s="30" t="s">
        <v>20</v>
      </c>
      <c r="C106" s="8" t="s">
        <v>20</v>
      </c>
      <c r="D106" s="30">
        <f>2+36</f>
        <v>38</v>
      </c>
      <c r="E106" s="8">
        <v>767301023</v>
      </c>
      <c r="F106" s="30" t="s">
        <v>48</v>
      </c>
      <c r="G106" s="8">
        <v>69</v>
      </c>
      <c r="H106" s="8" t="s">
        <v>322</v>
      </c>
      <c r="I106" s="8"/>
      <c r="J106" s="40" t="str">
        <f ca="1">INDIRECT("B"&amp;MATCH("Orai Kaune",A:A,0)+ROW()-56)</f>
        <v>Didelis debesuotumas</v>
      </c>
      <c r="K106" s="40">
        <f ca="1">INDIRECT("D"&amp;MATCH("Orai Kaune",A:A,0)+ROW()-56)</f>
        <v>38</v>
      </c>
      <c r="L106" s="40">
        <f t="shared" ca="1" si="6"/>
        <v>61322</v>
      </c>
      <c r="M106" s="26" t="str">
        <f ca="1">VLOOKUP(J106,Atitikmenys!A:C,2,0)</f>
        <v>ÙÙ</v>
      </c>
      <c r="N106" s="26" t="str">
        <f ca="1">VLOOKUP(J106,Atitikmenys!A:C,3,0)</f>
        <v xml:space="preserve"> </v>
      </c>
      <c r="O106" s="20">
        <f ca="1">VLOOKUP(L106,Atitikmenys!C:D,2,0)</f>
        <v>6</v>
      </c>
      <c r="P106" s="19">
        <f ca="1">VLOOKUP(K106,Atitikmenys!A:C,2,0)</f>
        <v>2</v>
      </c>
      <c r="Q106" s="1" t="str">
        <f t="shared" ca="1" si="7"/>
        <v/>
      </c>
      <c r="R106" s="1" t="str">
        <f t="shared" ca="1" si="5"/>
        <v/>
      </c>
    </row>
    <row r="107" spans="1:18" s="16" customFormat="1" x14ac:dyDescent="0.25">
      <c r="A107" s="43"/>
      <c r="B107" s="30"/>
      <c r="C107" s="8"/>
      <c r="D107" s="30"/>
      <c r="E107" s="8"/>
      <c r="F107" s="30">
        <v>61322</v>
      </c>
      <c r="G107" s="8"/>
      <c r="H107" s="8"/>
      <c r="I107" s="8"/>
      <c r="J107" s="40"/>
      <c r="K107" s="40"/>
      <c r="L107" s="40" t="str">
        <f t="shared" ca="1" si="6"/>
        <v>PR</v>
      </c>
      <c r="M107" s="26"/>
      <c r="N107" s="26"/>
      <c r="O107" s="50" t="str">
        <f ca="1">VLOOKUP(L107,Atitikmenys!A:B,2,0)</f>
        <v>Ý</v>
      </c>
      <c r="P107" s="19" t="e">
        <f>VLOOKUP(K107,Atitikmenys!A:C,2,0)</f>
        <v>#N/A</v>
      </c>
      <c r="Q107" s="1" t="str">
        <f t="shared" ca="1" si="7"/>
        <v/>
      </c>
      <c r="R107" s="1" t="str">
        <f t="shared" ca="1" si="5"/>
        <v/>
      </c>
    </row>
    <row r="108" spans="1:18" s="16" customFormat="1" x14ac:dyDescent="0.25">
      <c r="A108" s="43">
        <v>0.5</v>
      </c>
      <c r="B108" s="30" t="s">
        <v>47</v>
      </c>
      <c r="C108" s="8" t="s">
        <v>47</v>
      </c>
      <c r="D108" s="30">
        <f>4+39</f>
        <v>43</v>
      </c>
      <c r="E108" s="8">
        <v>766301021</v>
      </c>
      <c r="F108" s="30" t="s">
        <v>48</v>
      </c>
      <c r="G108" s="8">
        <v>63</v>
      </c>
      <c r="H108" s="8">
        <f>1+34</f>
        <v>35</v>
      </c>
      <c r="I108" s="8"/>
      <c r="J108" s="40" t="str">
        <f ca="1">INDIRECT("B"&amp;MATCH("Orai Kaune",A:A,0)+ROW()-56)</f>
        <v>Mažas debesuotumas</v>
      </c>
      <c r="K108" s="40">
        <f ca="1">INDIRECT("D"&amp;MATCH("Orai Kaune",A:A,0)+ROW()-56)</f>
        <v>43</v>
      </c>
      <c r="L108" s="40">
        <f t="shared" ca="1" si="6"/>
        <v>71625</v>
      </c>
      <c r="M108" s="26" t="str">
        <f ca="1">VLOOKUP(J108,Atitikmenys!A:C,2,0)</f>
        <v>Ö</v>
      </c>
      <c r="N108" s="26" t="str">
        <f ca="1">VLOOKUP(J108,Atitikmenys!A:C,3,0)</f>
        <v xml:space="preserve"> </v>
      </c>
      <c r="O108" s="20">
        <f ca="1">VLOOKUP(L108,Atitikmenys!C:D,2,0)</f>
        <v>7</v>
      </c>
      <c r="P108" s="19">
        <f ca="1">VLOOKUP(K108,Atitikmenys!A:C,2,0)</f>
        <v>4</v>
      </c>
      <c r="Q108" s="1" t="str">
        <f t="shared" ca="1" si="7"/>
        <v/>
      </c>
      <c r="R108" s="1" t="str">
        <f t="shared" ca="1" si="5"/>
        <v/>
      </c>
    </row>
    <row r="109" spans="1:18" s="16" customFormat="1" x14ac:dyDescent="0.25">
      <c r="A109" s="43"/>
      <c r="B109" s="30"/>
      <c r="C109" s="8"/>
      <c r="D109" s="30"/>
      <c r="E109" s="8"/>
      <c r="F109" s="30">
        <v>71625</v>
      </c>
      <c r="G109" s="8"/>
      <c r="H109" s="8"/>
      <c r="I109" s="8"/>
      <c r="J109" s="40"/>
      <c r="K109" s="40"/>
      <c r="L109" s="40" t="str">
        <f t="shared" ca="1" si="6"/>
        <v>P</v>
      </c>
      <c r="M109" s="26"/>
      <c r="N109" s="26"/>
      <c r="O109" s="50" t="str">
        <f ca="1">VLOOKUP(L109,Atitikmenys!A:B,2,0)</f>
        <v>Û</v>
      </c>
      <c r="P109" s="19" t="e">
        <f>VLOOKUP(K109,Atitikmenys!A:C,2,0)</f>
        <v>#N/A</v>
      </c>
      <c r="Q109" s="1" t="str">
        <f t="shared" ca="1" si="7"/>
        <v/>
      </c>
      <c r="R109" s="1" t="str">
        <f t="shared" ca="1" si="5"/>
        <v/>
      </c>
    </row>
    <row r="110" spans="1:18" s="16" customFormat="1" x14ac:dyDescent="0.25">
      <c r="A110" s="43">
        <v>0.625</v>
      </c>
      <c r="B110" s="30" t="s">
        <v>20</v>
      </c>
      <c r="C110" s="8" t="s">
        <v>20</v>
      </c>
      <c r="D110" s="30">
        <f>5+41</f>
        <v>46</v>
      </c>
      <c r="E110" s="8">
        <v>764301019</v>
      </c>
      <c r="F110" s="30" t="s">
        <v>44</v>
      </c>
      <c r="G110" s="8">
        <v>57</v>
      </c>
      <c r="H110" s="8">
        <f>2+36</f>
        <v>38</v>
      </c>
      <c r="I110" s="8"/>
      <c r="J110" s="40" t="str">
        <f ca="1">INDIRECT("B"&amp;MATCH("Orai Kaune",A:A,0)+ROW()-56)</f>
        <v>Didelis debesuotumas</v>
      </c>
      <c r="K110" s="40">
        <f ca="1">INDIRECT("D"&amp;MATCH("Orai Kaune",A:A,0)+ROW()-56)</f>
        <v>46</v>
      </c>
      <c r="L110" s="40">
        <f t="shared" ca="1" si="6"/>
        <v>81829</v>
      </c>
      <c r="M110" s="26" t="str">
        <f ca="1">VLOOKUP(J110,Atitikmenys!A:C,2,0)</f>
        <v>ÙÙ</v>
      </c>
      <c r="N110" s="26" t="str">
        <f ca="1">VLOOKUP(J110,Atitikmenys!A:C,3,0)</f>
        <v xml:space="preserve"> </v>
      </c>
      <c r="O110" s="20">
        <f ca="1">VLOOKUP(L110,Atitikmenys!C:D,2,0)</f>
        <v>8</v>
      </c>
      <c r="P110" s="19">
        <f ca="1">VLOOKUP(K110,Atitikmenys!A:C,2,0)</f>
        <v>5</v>
      </c>
      <c r="Q110" s="1" t="str">
        <f t="shared" ca="1" si="7"/>
        <v/>
      </c>
      <c r="R110" s="1" t="str">
        <f t="shared" ca="1" si="5"/>
        <v/>
      </c>
    </row>
    <row r="111" spans="1:18" s="16" customFormat="1" x14ac:dyDescent="0.25">
      <c r="A111" s="43"/>
      <c r="B111" s="30"/>
      <c r="C111" s="8"/>
      <c r="D111" s="30"/>
      <c r="E111" s="8"/>
      <c r="F111" s="30">
        <v>81829</v>
      </c>
      <c r="G111" s="8"/>
      <c r="H111" s="8"/>
      <c r="I111" s="8"/>
      <c r="J111" s="40"/>
      <c r="K111" s="40"/>
      <c r="L111" s="40" t="str">
        <f t="shared" ca="1" si="6"/>
        <v>PR</v>
      </c>
      <c r="M111" s="26"/>
      <c r="N111" s="26"/>
      <c r="O111" s="50" t="str">
        <f ca="1">VLOOKUP(L111,Atitikmenys!A:B,2,0)</f>
        <v>Ý</v>
      </c>
      <c r="P111" s="19" t="e">
        <f>VLOOKUP(K111,Atitikmenys!A:C,2,0)</f>
        <v>#N/A</v>
      </c>
      <c r="Q111" s="1" t="str">
        <f t="shared" ca="1" si="7"/>
        <v/>
      </c>
      <c r="R111" s="1" t="str">
        <f t="shared" ca="1" si="5"/>
        <v/>
      </c>
    </row>
    <row r="112" spans="1:18" s="16" customFormat="1" x14ac:dyDescent="0.25">
      <c r="A112" s="43">
        <v>0.75</v>
      </c>
      <c r="B112" s="30" t="s">
        <v>36</v>
      </c>
      <c r="C112" s="8" t="s">
        <v>36</v>
      </c>
      <c r="D112" s="30">
        <f>4+39</f>
        <v>43</v>
      </c>
      <c r="E112" s="8">
        <v>763301017</v>
      </c>
      <c r="F112" s="30" t="s">
        <v>48</v>
      </c>
      <c r="G112" s="8">
        <v>67</v>
      </c>
      <c r="H112" s="8">
        <f>1+34</f>
        <v>35</v>
      </c>
      <c r="I112" s="8"/>
      <c r="J112" s="40" t="str">
        <f ca="1">INDIRECT("B"&amp;MATCH("Orai Kaune",A:A,0)+ROW()-56)</f>
        <v>Didelis debesuotumas, nedidelis lietus</v>
      </c>
      <c r="K112" s="40">
        <f ca="1">INDIRECT("D"&amp;MATCH("Orai Kaune",A:A,0)+ROW()-56)</f>
        <v>43</v>
      </c>
      <c r="L112" s="40">
        <f t="shared" ca="1" si="6"/>
        <v>61322</v>
      </c>
      <c r="M112" s="26" t="str">
        <f ca="1">VLOOKUP(J112,Atitikmenys!A:C,2,0)</f>
        <v>ÙÙ</v>
      </c>
      <c r="N112" s="26" t="str">
        <f ca="1">VLOOKUP(J112,Atitikmenys!A:C,3,0)</f>
        <v>S</v>
      </c>
      <c r="O112" s="20">
        <f ca="1">VLOOKUP(L112,Atitikmenys!C:D,2,0)</f>
        <v>6</v>
      </c>
      <c r="P112" s="19">
        <f ca="1">VLOOKUP(K112,Atitikmenys!A:C,2,0)</f>
        <v>4</v>
      </c>
      <c r="Q112" s="1" t="str">
        <f t="shared" ca="1" si="7"/>
        <v/>
      </c>
      <c r="R112" s="1" t="str">
        <f t="shared" ca="1" si="5"/>
        <v/>
      </c>
    </row>
    <row r="113" spans="1:19" s="16" customFormat="1" x14ac:dyDescent="0.25">
      <c r="A113" s="43"/>
      <c r="B113" s="30"/>
      <c r="C113" s="8"/>
      <c r="D113" s="30"/>
      <c r="E113" s="8"/>
      <c r="F113" s="30">
        <v>61322</v>
      </c>
      <c r="G113" s="8"/>
      <c r="H113" s="8"/>
      <c r="I113" s="8"/>
      <c r="J113" s="40"/>
      <c r="K113" s="40"/>
      <c r="L113" s="40" t="str">
        <f t="shared" ca="1" si="6"/>
        <v>PR</v>
      </c>
      <c r="M113" s="26"/>
      <c r="N113" s="26"/>
      <c r="O113" s="50" t="str">
        <f ca="1">VLOOKUP(L113,Atitikmenys!A:B,2,0)</f>
        <v>Ý</v>
      </c>
      <c r="P113" s="19" t="e">
        <f>VLOOKUP(K113,Atitikmenys!A:C,2,0)</f>
        <v>#N/A</v>
      </c>
      <c r="Q113" s="1" t="str">
        <f t="shared" ca="1" si="7"/>
        <v/>
      </c>
      <c r="R113" s="1" t="str">
        <f t="shared" ca="1" si="5"/>
        <v/>
      </c>
    </row>
    <row r="114" spans="1:19" s="16" customFormat="1" x14ac:dyDescent="0.25">
      <c r="A114" s="43">
        <v>0.875</v>
      </c>
      <c r="B114" s="30" t="s">
        <v>32</v>
      </c>
      <c r="C114" s="8" t="s">
        <v>32</v>
      </c>
      <c r="D114" s="30">
        <f>3+37</f>
        <v>40</v>
      </c>
      <c r="E114" s="8">
        <v>760301013</v>
      </c>
      <c r="F114" s="30" t="s">
        <v>48</v>
      </c>
      <c r="G114" s="8">
        <v>88</v>
      </c>
      <c r="H114" s="8" t="s">
        <v>319</v>
      </c>
      <c r="I114" s="8"/>
      <c r="J114" s="40" t="str">
        <f ca="1">INDIRECT("B"&amp;MATCH("Orai Kaune",A:A,0)+ROW()-56)</f>
        <v>Didelis debesuotumas, lietus</v>
      </c>
      <c r="K114" s="40">
        <f ca="1">INDIRECT("D"&amp;MATCH("Orai Kaune",A:A,0)+ROW()-56)</f>
        <v>40</v>
      </c>
      <c r="L114" s="40">
        <f t="shared" ca="1" si="6"/>
        <v>61322</v>
      </c>
      <c r="M114" s="26" t="str">
        <f ca="1">VLOOKUP(J114,Atitikmenys!A:C,2,0)</f>
        <v>ÙÙ</v>
      </c>
      <c r="N114" s="26" t="str">
        <f ca="1">VLOOKUP(J114,Atitikmenys!A:C,3,0)</f>
        <v>SS</v>
      </c>
      <c r="O114" s="20">
        <f ca="1">VLOOKUP(L114,Atitikmenys!C:D,2,0)</f>
        <v>6</v>
      </c>
      <c r="P114" s="19">
        <f ca="1">VLOOKUP(K114,Atitikmenys!A:C,2,0)</f>
        <v>3</v>
      </c>
      <c r="Q114" s="1" t="str">
        <f t="shared" ca="1" si="7"/>
        <v/>
      </c>
      <c r="R114" s="1" t="str">
        <f t="shared" ca="1" si="5"/>
        <v/>
      </c>
    </row>
    <row r="115" spans="1:19" s="17" customFormat="1" x14ac:dyDescent="0.25">
      <c r="A115" s="44"/>
      <c r="B115" s="30"/>
      <c r="C115" s="8"/>
      <c r="D115" s="30"/>
      <c r="E115" s="8"/>
      <c r="F115" s="30">
        <v>61322</v>
      </c>
      <c r="G115" s="8"/>
      <c r="H115" s="8"/>
      <c r="I115" s="8"/>
      <c r="J115" s="40"/>
      <c r="K115" s="40"/>
      <c r="L115" s="45"/>
      <c r="M115" s="26"/>
      <c r="N115" s="26"/>
      <c r="O115" s="96"/>
      <c r="P115" s="19" t="e">
        <f>VLOOKUP(K115,Atitikmenys!A:C,2,0)</f>
        <v>#N/A</v>
      </c>
      <c r="Q115" s="1" t="str">
        <f t="shared" ca="1" si="7"/>
        <v/>
      </c>
      <c r="R115" s="1" t="str">
        <f t="shared" ca="1" si="5"/>
        <v/>
      </c>
    </row>
    <row r="116" spans="1:19" x14ac:dyDescent="0.25">
      <c r="A116" s="32" t="s">
        <v>52</v>
      </c>
      <c r="Q116" s="1" t="str">
        <f t="shared" ca="1" si="7"/>
        <v/>
      </c>
      <c r="R116" s="1" t="str">
        <f t="shared" ca="1" si="5"/>
        <v/>
      </c>
    </row>
    <row r="117" spans="1:19" x14ac:dyDescent="0.25">
      <c r="Q117" s="1" t="str">
        <f t="shared" ca="1" si="7"/>
        <v/>
      </c>
      <c r="R117" s="1" t="str">
        <f t="shared" ca="1" si="5"/>
        <v/>
      </c>
    </row>
    <row r="118" spans="1:19" x14ac:dyDescent="0.25">
      <c r="A118" s="32" t="s">
        <v>50</v>
      </c>
      <c r="Q118" s="1" t="str">
        <f t="shared" ca="1" si="7"/>
        <v/>
      </c>
      <c r="R118" s="1" t="str">
        <f t="shared" ca="1" si="5"/>
        <v/>
      </c>
    </row>
    <row r="119" spans="1:19" x14ac:dyDescent="0.25">
      <c r="Q119" s="1" t="str">
        <f t="shared" ca="1" si="7"/>
        <v/>
      </c>
      <c r="R119" s="1" t="str">
        <f t="shared" ca="1" si="5"/>
        <v/>
      </c>
    </row>
    <row r="120" spans="1:19" x14ac:dyDescent="0.25">
      <c r="A120" s="32" t="s">
        <v>51</v>
      </c>
      <c r="Q120" s="1" t="str">
        <f t="shared" ca="1" si="7"/>
        <v/>
      </c>
      <c r="R120" s="1" t="str">
        <f ca="1">IF(A120="Saulė",TIMEVALUE(RIGHT(OFFSET(A120,2,0),5)),"")</f>
        <v/>
      </c>
    </row>
    <row r="121" spans="1:19" x14ac:dyDescent="0.25">
      <c r="A121" s="32" t="s">
        <v>52</v>
      </c>
      <c r="C121" s="37"/>
      <c r="Q121" s="1" t="str">
        <f t="shared" ca="1" si="7"/>
        <v/>
      </c>
      <c r="R121" s="1" t="str">
        <f t="shared" ref="R121:R184" ca="1" si="8">IF(A121="Saulė",TIMEVALUE(RIGHT(OFFSET(A121,2,0),5)),"")</f>
        <v/>
      </c>
    </row>
    <row r="122" spans="1:19" x14ac:dyDescent="0.25">
      <c r="A122" s="32" t="s">
        <v>53</v>
      </c>
      <c r="C122" s="37"/>
      <c r="Q122" s="1" t="str">
        <f t="shared" ca="1" si="7"/>
        <v/>
      </c>
      <c r="R122" s="1" t="str">
        <f t="shared" ca="1" si="8"/>
        <v/>
      </c>
    </row>
    <row r="123" spans="1:19" x14ac:dyDescent="0.25">
      <c r="A123" s="32" t="s">
        <v>54</v>
      </c>
      <c r="C123" s="37"/>
      <c r="Q123" s="1" t="str">
        <f t="shared" ca="1" si="7"/>
        <v/>
      </c>
      <c r="R123" s="1" t="str">
        <f t="shared" ca="1" si="8"/>
        <v/>
      </c>
    </row>
    <row r="124" spans="1:19" x14ac:dyDescent="0.25">
      <c r="A124" s="32" t="s">
        <v>55</v>
      </c>
      <c r="Q124" s="1" t="str">
        <f t="shared" ca="1" si="7"/>
        <v/>
      </c>
      <c r="R124" s="1" t="str">
        <f t="shared" ca="1" si="8"/>
        <v/>
      </c>
    </row>
    <row r="125" spans="1:19" x14ac:dyDescent="0.25">
      <c r="A125" s="32" t="s">
        <v>56</v>
      </c>
      <c r="Q125" s="1" t="str">
        <f t="shared" ca="1" si="7"/>
        <v/>
      </c>
      <c r="R125" s="1" t="str">
        <f t="shared" ca="1" si="8"/>
        <v/>
      </c>
    </row>
    <row r="126" spans="1:19" x14ac:dyDescent="0.25">
      <c r="A126" s="32" t="s">
        <v>57</v>
      </c>
      <c r="Q126" s="1" t="str">
        <f t="shared" ca="1" si="7"/>
        <v/>
      </c>
      <c r="R126" s="1" t="str">
        <f t="shared" ca="1" si="8"/>
        <v/>
      </c>
    </row>
    <row r="127" spans="1:19" x14ac:dyDescent="0.25">
      <c r="A127" s="32" t="s">
        <v>58</v>
      </c>
      <c r="Q127" s="1" t="str">
        <f t="shared" ca="1" si="7"/>
        <v/>
      </c>
      <c r="R127" s="1" t="str">
        <f t="shared" ca="1" si="8"/>
        <v/>
      </c>
      <c r="S127">
        <v>127</v>
      </c>
    </row>
    <row r="128" spans="1:19" x14ac:dyDescent="0.25">
      <c r="A128" s="32" t="s">
        <v>59</v>
      </c>
      <c r="Q128" s="1" t="str">
        <f t="shared" ca="1" si="7"/>
        <v/>
      </c>
      <c r="R128" s="1" t="str">
        <f t="shared" ca="1" si="8"/>
        <v/>
      </c>
    </row>
    <row r="129" spans="1:18" x14ac:dyDescent="0.25">
      <c r="A129" s="32" t="s">
        <v>60</v>
      </c>
      <c r="Q129" s="1" t="str">
        <f t="shared" ca="1" si="7"/>
        <v/>
      </c>
      <c r="R129" s="1" t="str">
        <f t="shared" ca="1" si="8"/>
        <v/>
      </c>
    </row>
    <row r="130" spans="1:18" x14ac:dyDescent="0.25">
      <c r="A130" s="32" t="s">
        <v>61</v>
      </c>
      <c r="Q130" s="1">
        <f t="shared" ref="Q130:Q161" ca="1" si="9">IF(A130="Saulė",TIMEVALUE(RIGHT(OFFSET(A130,1,0),5)),"")</f>
        <v>0.33958333333333335</v>
      </c>
      <c r="R130" s="1">
        <f t="shared" ca="1" si="8"/>
        <v>0.75416666666666676</v>
      </c>
    </row>
    <row r="131" spans="1:18" x14ac:dyDescent="0.25">
      <c r="A131" s="32" t="s">
        <v>366</v>
      </c>
      <c r="Q131" s="1" t="str">
        <f t="shared" ca="1" si="9"/>
        <v/>
      </c>
      <c r="R131" s="1" t="str">
        <f t="shared" ca="1" si="8"/>
        <v/>
      </c>
    </row>
    <row r="132" spans="1:18" x14ac:dyDescent="0.25">
      <c r="A132" s="32" t="s">
        <v>367</v>
      </c>
      <c r="Q132" s="1" t="str">
        <f t="shared" ca="1" si="9"/>
        <v/>
      </c>
      <c r="R132" s="1" t="str">
        <f t="shared" ca="1" si="8"/>
        <v/>
      </c>
    </row>
    <row r="133" spans="1:18" x14ac:dyDescent="0.25">
      <c r="A133" s="32" t="s">
        <v>368</v>
      </c>
      <c r="Q133" s="1" t="str">
        <f t="shared" ca="1" si="9"/>
        <v/>
      </c>
      <c r="R133" s="1" t="str">
        <f t="shared" ca="1" si="8"/>
        <v/>
      </c>
    </row>
    <row r="134" spans="1:18" x14ac:dyDescent="0.25">
      <c r="A134" s="32" t="s">
        <v>62</v>
      </c>
      <c r="Q134" s="1" t="str">
        <f t="shared" ca="1" si="9"/>
        <v/>
      </c>
      <c r="R134" s="1" t="str">
        <f t="shared" ca="1" si="8"/>
        <v/>
      </c>
    </row>
    <row r="135" spans="1:18" x14ac:dyDescent="0.25">
      <c r="A135" s="32" t="s">
        <v>389</v>
      </c>
      <c r="Q135" s="1" t="str">
        <f t="shared" ca="1" si="9"/>
        <v/>
      </c>
      <c r="R135" s="1" t="str">
        <f t="shared" ca="1" si="8"/>
        <v/>
      </c>
    </row>
    <row r="136" spans="1:18" x14ac:dyDescent="0.25">
      <c r="A136" s="32" t="s">
        <v>370</v>
      </c>
      <c r="Q136" s="1" t="str">
        <f t="shared" ca="1" si="9"/>
        <v/>
      </c>
      <c r="R136" s="1" t="str">
        <f t="shared" ca="1" si="8"/>
        <v/>
      </c>
    </row>
    <row r="137" spans="1:18" x14ac:dyDescent="0.25">
      <c r="A137" s="32" t="s">
        <v>371</v>
      </c>
      <c r="Q137" s="1" t="str">
        <f t="shared" ca="1" si="9"/>
        <v/>
      </c>
      <c r="R137" s="1" t="str">
        <f t="shared" ca="1" si="8"/>
        <v/>
      </c>
    </row>
    <row r="138" spans="1:18" x14ac:dyDescent="0.25">
      <c r="A138" s="32" t="s">
        <v>63</v>
      </c>
      <c r="Q138" s="1" t="str">
        <f t="shared" ca="1" si="9"/>
        <v/>
      </c>
      <c r="R138" s="1" t="str">
        <f t="shared" ca="1" si="8"/>
        <v/>
      </c>
    </row>
    <row r="139" spans="1:18" x14ac:dyDescent="0.25">
      <c r="A139" s="32" t="s">
        <v>64</v>
      </c>
      <c r="Q139" s="1" t="str">
        <f t="shared" ca="1" si="9"/>
        <v/>
      </c>
      <c r="R139" s="1" t="str">
        <f t="shared" ca="1" si="8"/>
        <v/>
      </c>
    </row>
    <row r="140" spans="1:18" x14ac:dyDescent="0.25">
      <c r="A140" s="32" t="s">
        <v>65</v>
      </c>
      <c r="Q140" s="1" t="str">
        <f t="shared" ca="1" si="9"/>
        <v/>
      </c>
      <c r="R140" s="1" t="str">
        <f t="shared" ca="1" si="8"/>
        <v/>
      </c>
    </row>
    <row r="141" spans="1:18" x14ac:dyDescent="0.25">
      <c r="A141" s="32" t="s">
        <v>66</v>
      </c>
      <c r="Q141" s="1" t="str">
        <f t="shared" ca="1" si="9"/>
        <v/>
      </c>
      <c r="R141" s="1" t="str">
        <f t="shared" ca="1" si="8"/>
        <v/>
      </c>
    </row>
    <row r="142" spans="1:18" x14ac:dyDescent="0.25">
      <c r="A142" s="32" t="s">
        <v>67</v>
      </c>
      <c r="Q142" s="1" t="str">
        <f t="shared" ca="1" si="9"/>
        <v/>
      </c>
      <c r="R142" s="1" t="str">
        <f t="shared" ca="1" si="8"/>
        <v/>
      </c>
    </row>
    <row r="143" spans="1:18" x14ac:dyDescent="0.25">
      <c r="A143" s="32" t="s">
        <v>68</v>
      </c>
      <c r="Q143" s="1" t="str">
        <f t="shared" ca="1" si="9"/>
        <v/>
      </c>
      <c r="R143" s="1" t="str">
        <f t="shared" ca="1" si="8"/>
        <v/>
      </c>
    </row>
    <row r="144" spans="1:18" x14ac:dyDescent="0.25">
      <c r="A144" s="32" t="s">
        <v>69</v>
      </c>
      <c r="Q144" s="1" t="str">
        <f t="shared" ca="1" si="9"/>
        <v/>
      </c>
      <c r="R144" s="1" t="str">
        <f t="shared" ca="1" si="8"/>
        <v/>
      </c>
    </row>
    <row r="145" spans="1:18" x14ac:dyDescent="0.25">
      <c r="A145" s="32" t="s">
        <v>117</v>
      </c>
      <c r="Q145" s="1" t="str">
        <f t="shared" ca="1" si="9"/>
        <v/>
      </c>
      <c r="R145" s="1" t="str">
        <f t="shared" ca="1" si="8"/>
        <v/>
      </c>
    </row>
    <row r="146" spans="1:18" x14ac:dyDescent="0.25">
      <c r="Q146" s="1" t="str">
        <f t="shared" ca="1" si="9"/>
        <v/>
      </c>
      <c r="R146" s="1" t="str">
        <f t="shared" ca="1" si="8"/>
        <v/>
      </c>
    </row>
    <row r="147" spans="1:18" x14ac:dyDescent="0.25">
      <c r="A147" s="32" t="s">
        <v>329</v>
      </c>
      <c r="Q147" s="1" t="str">
        <f t="shared" ca="1" si="9"/>
        <v/>
      </c>
      <c r="R147" s="1" t="str">
        <f t="shared" ca="1" si="8"/>
        <v/>
      </c>
    </row>
    <row r="148" spans="1:18" x14ac:dyDescent="0.25">
      <c r="Q148" s="1" t="str">
        <f t="shared" ca="1" si="9"/>
        <v/>
      </c>
      <c r="R148" s="1" t="str">
        <f t="shared" ca="1" si="8"/>
        <v/>
      </c>
    </row>
    <row r="149" spans="1:18" x14ac:dyDescent="0.25">
      <c r="A149" s="32" t="s">
        <v>309</v>
      </c>
      <c r="Q149" s="1" t="str">
        <f t="shared" ca="1" si="9"/>
        <v/>
      </c>
      <c r="R149" s="1" t="str">
        <f t="shared" ca="1" si="8"/>
        <v/>
      </c>
    </row>
    <row r="150" spans="1:18" x14ac:dyDescent="0.25">
      <c r="Q150" s="1" t="str">
        <f t="shared" ca="1" si="9"/>
        <v/>
      </c>
      <c r="R150" s="1" t="str">
        <f t="shared" ca="1" si="8"/>
        <v/>
      </c>
    </row>
    <row r="151" spans="1:18" x14ac:dyDescent="0.25">
      <c r="A151" s="32" t="s">
        <v>330</v>
      </c>
      <c r="Q151" s="1" t="str">
        <f t="shared" ca="1" si="9"/>
        <v/>
      </c>
      <c r="R151" s="1" t="str">
        <f t="shared" ca="1" si="8"/>
        <v/>
      </c>
    </row>
    <row r="152" spans="1:18" x14ac:dyDescent="0.25">
      <c r="Q152" s="1" t="str">
        <f t="shared" ca="1" si="9"/>
        <v/>
      </c>
      <c r="R152" s="1" t="str">
        <f t="shared" ca="1" si="8"/>
        <v/>
      </c>
    </row>
    <row r="153" spans="1:18" x14ac:dyDescent="0.25">
      <c r="A153" s="32" t="s">
        <v>331</v>
      </c>
      <c r="Q153" s="1" t="str">
        <f t="shared" ca="1" si="9"/>
        <v/>
      </c>
      <c r="R153" s="1" t="str">
        <f t="shared" ca="1" si="8"/>
        <v/>
      </c>
    </row>
    <row r="154" spans="1:18" x14ac:dyDescent="0.25">
      <c r="Q154" s="1" t="str">
        <f t="shared" ca="1" si="9"/>
        <v/>
      </c>
      <c r="R154" s="1" t="str">
        <f t="shared" ca="1" si="8"/>
        <v/>
      </c>
    </row>
    <row r="155" spans="1:18" x14ac:dyDescent="0.25">
      <c r="A155" s="32" t="s">
        <v>332</v>
      </c>
      <c r="Q155" s="1" t="str">
        <f t="shared" ca="1" si="9"/>
        <v/>
      </c>
      <c r="R155" s="1" t="str">
        <f t="shared" ca="1" si="8"/>
        <v/>
      </c>
    </row>
    <row r="156" spans="1:18" x14ac:dyDescent="0.25">
      <c r="Q156" s="1" t="str">
        <f t="shared" ca="1" si="9"/>
        <v/>
      </c>
      <c r="R156" s="1" t="str">
        <f t="shared" ca="1" si="8"/>
        <v/>
      </c>
    </row>
    <row r="157" spans="1:18" x14ac:dyDescent="0.25">
      <c r="A157" s="32" t="s">
        <v>333</v>
      </c>
      <c r="Q157" s="1" t="str">
        <f t="shared" ca="1" si="9"/>
        <v/>
      </c>
      <c r="R157" s="1" t="str">
        <f t="shared" ca="1" si="8"/>
        <v/>
      </c>
    </row>
    <row r="158" spans="1:18" x14ac:dyDescent="0.25">
      <c r="Q158" s="1" t="str">
        <f t="shared" ca="1" si="9"/>
        <v/>
      </c>
      <c r="R158" s="1" t="str">
        <f t="shared" ca="1" si="8"/>
        <v/>
      </c>
    </row>
    <row r="159" spans="1:18" x14ac:dyDescent="0.25">
      <c r="A159" s="32" t="s">
        <v>334</v>
      </c>
      <c r="Q159" s="1" t="str">
        <f t="shared" ca="1" si="9"/>
        <v/>
      </c>
      <c r="R159" s="1" t="str">
        <f t="shared" ca="1" si="8"/>
        <v/>
      </c>
    </row>
    <row r="160" spans="1:18" x14ac:dyDescent="0.25">
      <c r="Q160" s="1" t="str">
        <f t="shared" ca="1" si="9"/>
        <v/>
      </c>
      <c r="R160" s="1" t="str">
        <f t="shared" ca="1" si="8"/>
        <v/>
      </c>
    </row>
    <row r="161" spans="1:18" x14ac:dyDescent="0.25">
      <c r="A161" s="32" t="s">
        <v>335</v>
      </c>
      <c r="Q161" s="1" t="str">
        <f t="shared" ca="1" si="9"/>
        <v/>
      </c>
      <c r="R161" s="1" t="str">
        <f t="shared" ca="1" si="8"/>
        <v/>
      </c>
    </row>
    <row r="162" spans="1:18" x14ac:dyDescent="0.25">
      <c r="A162" s="32" t="s">
        <v>118</v>
      </c>
      <c r="Q162" s="1" t="str">
        <f t="shared" ref="Q162:Q188" ca="1" si="10">IF(A162="Saulė",TIMEVALUE(RIGHT(OFFSET(A162,1,0),5)),"")</f>
        <v/>
      </c>
      <c r="R162" s="1" t="str">
        <f t="shared" ca="1" si="8"/>
        <v/>
      </c>
    </row>
    <row r="163" spans="1:18" x14ac:dyDescent="0.25">
      <c r="A163" s="32" t="s">
        <v>119</v>
      </c>
      <c r="Q163" s="1" t="str">
        <f t="shared" ca="1" si="10"/>
        <v/>
      </c>
      <c r="R163" s="1" t="str">
        <f t="shared" ca="1" si="8"/>
        <v/>
      </c>
    </row>
    <row r="164" spans="1:18" x14ac:dyDescent="0.25">
      <c r="A164" s="32" t="s">
        <v>120</v>
      </c>
      <c r="Q164" s="1" t="str">
        <f t="shared" ca="1" si="10"/>
        <v/>
      </c>
      <c r="R164" s="1" t="str">
        <f t="shared" ca="1" si="8"/>
        <v/>
      </c>
    </row>
    <row r="165" spans="1:18" x14ac:dyDescent="0.25">
      <c r="A165" s="32" t="s">
        <v>70</v>
      </c>
      <c r="Q165" s="1" t="str">
        <f t="shared" ca="1" si="10"/>
        <v/>
      </c>
      <c r="R165" s="1" t="str">
        <f t="shared" ca="1" si="8"/>
        <v/>
      </c>
    </row>
    <row r="166" spans="1:18" x14ac:dyDescent="0.25">
      <c r="A166" s="32" t="s">
        <v>71</v>
      </c>
      <c r="Q166" s="1" t="str">
        <f t="shared" ca="1" si="10"/>
        <v/>
      </c>
      <c r="R166" s="1" t="str">
        <f t="shared" ca="1" si="8"/>
        <v/>
      </c>
    </row>
    <row r="167" spans="1:18" x14ac:dyDescent="0.25">
      <c r="A167" s="32" t="s">
        <v>72</v>
      </c>
      <c r="Q167" s="1" t="str">
        <f t="shared" ca="1" si="10"/>
        <v/>
      </c>
      <c r="R167" s="1" t="str">
        <f t="shared" ca="1" si="8"/>
        <v/>
      </c>
    </row>
    <row r="168" spans="1:18" x14ac:dyDescent="0.25">
      <c r="A168" s="32" t="s">
        <v>73</v>
      </c>
      <c r="Q168" s="1" t="str">
        <f t="shared" ca="1" si="10"/>
        <v/>
      </c>
      <c r="R168" s="1" t="str">
        <f t="shared" ca="1" si="8"/>
        <v/>
      </c>
    </row>
    <row r="169" spans="1:18" x14ac:dyDescent="0.25">
      <c r="A169" s="32" t="s">
        <v>74</v>
      </c>
      <c r="Q169" s="1" t="str">
        <f t="shared" ca="1" si="10"/>
        <v/>
      </c>
      <c r="R169" s="1" t="str">
        <f t="shared" ca="1" si="8"/>
        <v/>
      </c>
    </row>
    <row r="170" spans="1:18" x14ac:dyDescent="0.25">
      <c r="A170" s="32" t="s">
        <v>75</v>
      </c>
      <c r="Q170" s="1" t="str">
        <f t="shared" ca="1" si="10"/>
        <v/>
      </c>
      <c r="R170" s="1" t="str">
        <f t="shared" ca="1" si="8"/>
        <v/>
      </c>
    </row>
    <row r="171" spans="1:18" x14ac:dyDescent="0.25">
      <c r="A171" s="32" t="s">
        <v>76</v>
      </c>
      <c r="Q171" s="1" t="str">
        <f t="shared" ca="1" si="10"/>
        <v/>
      </c>
      <c r="R171" s="1" t="str">
        <f t="shared" ca="1" si="8"/>
        <v/>
      </c>
    </row>
    <row r="172" spans="1:18" x14ac:dyDescent="0.25">
      <c r="A172" s="32" t="s">
        <v>76</v>
      </c>
      <c r="Q172" s="1" t="str">
        <f t="shared" ca="1" si="10"/>
        <v/>
      </c>
      <c r="R172" s="1" t="str">
        <f t="shared" ca="1" si="8"/>
        <v/>
      </c>
    </row>
    <row r="173" spans="1:18" x14ac:dyDescent="0.25">
      <c r="A173" s="32" t="s">
        <v>77</v>
      </c>
      <c r="Q173" s="1" t="str">
        <f t="shared" ca="1" si="10"/>
        <v/>
      </c>
      <c r="R173" s="1" t="str">
        <f t="shared" ca="1" si="8"/>
        <v/>
      </c>
    </row>
    <row r="174" spans="1:18" x14ac:dyDescent="0.25">
      <c r="A174" s="32" t="s">
        <v>78</v>
      </c>
      <c r="Q174" s="1" t="str">
        <f t="shared" ca="1" si="10"/>
        <v/>
      </c>
      <c r="R174" s="1" t="str">
        <f t="shared" ca="1" si="8"/>
        <v/>
      </c>
    </row>
    <row r="175" spans="1:18" x14ac:dyDescent="0.25">
      <c r="A175" s="32" t="s">
        <v>79</v>
      </c>
      <c r="Q175" s="1" t="str">
        <f t="shared" ca="1" si="10"/>
        <v/>
      </c>
      <c r="R175" s="1" t="str">
        <f t="shared" ca="1" si="8"/>
        <v/>
      </c>
    </row>
    <row r="176" spans="1:18" x14ac:dyDescent="0.25">
      <c r="A176" s="32" t="s">
        <v>80</v>
      </c>
      <c r="Q176" s="1" t="str">
        <f t="shared" ca="1" si="10"/>
        <v/>
      </c>
      <c r="R176" s="1" t="str">
        <f t="shared" ca="1" si="8"/>
        <v/>
      </c>
    </row>
    <row r="177" spans="1:18" x14ac:dyDescent="0.25">
      <c r="A177" s="32" t="s">
        <v>81</v>
      </c>
      <c r="Q177" s="1" t="str">
        <f t="shared" ca="1" si="10"/>
        <v/>
      </c>
      <c r="R177" s="1" t="str">
        <f t="shared" ca="1" si="8"/>
        <v/>
      </c>
    </row>
    <row r="178" spans="1:18" x14ac:dyDescent="0.25">
      <c r="A178" s="32" t="s">
        <v>81</v>
      </c>
      <c r="Q178" s="1" t="str">
        <f t="shared" ca="1" si="10"/>
        <v/>
      </c>
      <c r="R178" s="1" t="str">
        <f t="shared" ca="1" si="8"/>
        <v/>
      </c>
    </row>
    <row r="179" spans="1:18" x14ac:dyDescent="0.25">
      <c r="A179" s="32" t="s">
        <v>82</v>
      </c>
      <c r="Q179" s="1" t="str">
        <f t="shared" ca="1" si="10"/>
        <v/>
      </c>
      <c r="R179" s="1" t="str">
        <f t="shared" ca="1" si="8"/>
        <v/>
      </c>
    </row>
    <row r="180" spans="1:18" x14ac:dyDescent="0.25">
      <c r="A180" s="32" t="s">
        <v>83</v>
      </c>
      <c r="Q180" s="1" t="str">
        <f t="shared" ca="1" si="10"/>
        <v/>
      </c>
      <c r="R180" s="1" t="str">
        <f t="shared" ca="1" si="8"/>
        <v/>
      </c>
    </row>
    <row r="181" spans="1:18" x14ac:dyDescent="0.25">
      <c r="A181" s="32" t="s">
        <v>84</v>
      </c>
      <c r="Q181" s="1" t="str">
        <f t="shared" ca="1" si="10"/>
        <v/>
      </c>
      <c r="R181" s="1" t="str">
        <f t="shared" ca="1" si="8"/>
        <v/>
      </c>
    </row>
    <row r="182" spans="1:18" x14ac:dyDescent="0.25">
      <c r="A182" s="32" t="s">
        <v>85</v>
      </c>
      <c r="Q182" s="1" t="str">
        <f t="shared" ca="1" si="10"/>
        <v/>
      </c>
      <c r="R182" s="1" t="str">
        <f t="shared" ca="1" si="8"/>
        <v/>
      </c>
    </row>
    <row r="183" spans="1:18" x14ac:dyDescent="0.25">
      <c r="A183" s="32" t="s">
        <v>86</v>
      </c>
      <c r="Q183" s="1" t="str">
        <f t="shared" ca="1" si="10"/>
        <v/>
      </c>
      <c r="R183" s="1" t="str">
        <f t="shared" ca="1" si="8"/>
        <v/>
      </c>
    </row>
    <row r="184" spans="1:18" x14ac:dyDescent="0.25">
      <c r="A184" s="32" t="s">
        <v>87</v>
      </c>
      <c r="Q184" s="1" t="str">
        <f t="shared" ca="1" si="10"/>
        <v/>
      </c>
      <c r="R184" s="1" t="str">
        <f t="shared" ca="1" si="8"/>
        <v/>
      </c>
    </row>
    <row r="185" spans="1:18" x14ac:dyDescent="0.25">
      <c r="A185" s="32" t="s">
        <v>88</v>
      </c>
      <c r="Q185" s="1" t="str">
        <f t="shared" ca="1" si="10"/>
        <v/>
      </c>
      <c r="R185" s="1" t="str">
        <f t="shared" ref="R185:R188" ca="1" si="11">IF(A185="Saulė",TIMEVALUE(RIGHT(OFFSET(A185,2,0),5)),"")</f>
        <v/>
      </c>
    </row>
    <row r="186" spans="1:18" x14ac:dyDescent="0.25">
      <c r="A186" s="32" t="s">
        <v>89</v>
      </c>
      <c r="Q186" s="1" t="str">
        <f t="shared" ca="1" si="10"/>
        <v/>
      </c>
      <c r="R186" s="1" t="str">
        <f t="shared" ca="1" si="11"/>
        <v/>
      </c>
    </row>
    <row r="187" spans="1:18" x14ac:dyDescent="0.25">
      <c r="A187" s="32" t="s">
        <v>90</v>
      </c>
      <c r="Q187" s="1" t="str">
        <f t="shared" ca="1" si="10"/>
        <v/>
      </c>
      <c r="R187" s="1" t="str">
        <f t="shared" ca="1" si="11"/>
        <v/>
      </c>
    </row>
    <row r="188" spans="1:18" x14ac:dyDescent="0.25">
      <c r="A188" s="32" t="s">
        <v>91</v>
      </c>
      <c r="Q188" s="1" t="str">
        <f t="shared" ca="1" si="10"/>
        <v/>
      </c>
      <c r="R188" s="1" t="str">
        <f t="shared" ca="1" si="11"/>
        <v/>
      </c>
    </row>
    <row r="189" spans="1:18" x14ac:dyDescent="0.25">
      <c r="A189" s="32" t="s">
        <v>92</v>
      </c>
      <c r="Q189" s="1" t="str">
        <f t="shared" ref="Q189:Q207" ca="1" si="12">IF(A199="Saulė",TIMEVALUE(RIGHT(OFFSET(A199,1,0),5)),"")</f>
        <v/>
      </c>
      <c r="R189" s="1" t="str">
        <f t="shared" ref="R189:R207" ca="1" si="13">IF(A199="Saulė",TIMEVALUE(RIGHT(OFFSET(A199,2,0),5)),"")</f>
        <v/>
      </c>
    </row>
    <row r="190" spans="1:18" x14ac:dyDescent="0.25">
      <c r="A190" s="32" t="s">
        <v>93</v>
      </c>
      <c r="Q190" s="1" t="str">
        <f t="shared" ca="1" si="12"/>
        <v/>
      </c>
      <c r="R190" s="1" t="str">
        <f t="shared" ca="1" si="13"/>
        <v/>
      </c>
    </row>
    <row r="191" spans="1:18" x14ac:dyDescent="0.25">
      <c r="A191" s="32" t="s">
        <v>94</v>
      </c>
      <c r="Q191" s="1" t="str">
        <f t="shared" ca="1" si="12"/>
        <v/>
      </c>
      <c r="R191" s="1" t="str">
        <f t="shared" ca="1" si="13"/>
        <v/>
      </c>
    </row>
    <row r="192" spans="1:18" x14ac:dyDescent="0.25">
      <c r="A192" s="32" t="s">
        <v>95</v>
      </c>
      <c r="Q192" s="1" t="str">
        <f t="shared" ca="1" si="12"/>
        <v/>
      </c>
      <c r="R192" s="1" t="str">
        <f t="shared" ca="1" si="13"/>
        <v/>
      </c>
    </row>
    <row r="193" spans="1:18" x14ac:dyDescent="0.25">
      <c r="A193" s="32" t="s">
        <v>96</v>
      </c>
      <c r="Q193" s="1" t="str">
        <f t="shared" ca="1" si="12"/>
        <v/>
      </c>
      <c r="R193" s="1" t="str">
        <f t="shared" ca="1" si="13"/>
        <v/>
      </c>
    </row>
    <row r="194" spans="1:18" x14ac:dyDescent="0.25">
      <c r="A194" s="32" t="s">
        <v>97</v>
      </c>
      <c r="Q194" s="1" t="str">
        <f t="shared" ca="1" si="12"/>
        <v/>
      </c>
      <c r="R194" s="1" t="str">
        <f t="shared" ca="1" si="13"/>
        <v/>
      </c>
    </row>
    <row r="195" spans="1:18" x14ac:dyDescent="0.25">
      <c r="A195" s="32" t="s">
        <v>98</v>
      </c>
      <c r="Q195" s="1" t="str">
        <f t="shared" ca="1" si="12"/>
        <v/>
      </c>
      <c r="R195" s="1" t="str">
        <f t="shared" ca="1" si="13"/>
        <v/>
      </c>
    </row>
    <row r="196" spans="1:18" x14ac:dyDescent="0.25">
      <c r="A196" s="32" t="s">
        <v>99</v>
      </c>
      <c r="Q196" s="1" t="str">
        <f t="shared" ca="1" si="12"/>
        <v/>
      </c>
      <c r="R196" s="1" t="str">
        <f t="shared" ca="1" si="13"/>
        <v/>
      </c>
    </row>
    <row r="197" spans="1:18" x14ac:dyDescent="0.25">
      <c r="A197" s="32" t="s">
        <v>100</v>
      </c>
      <c r="Q197" s="1" t="str">
        <f t="shared" ca="1" si="12"/>
        <v/>
      </c>
      <c r="R197" s="1" t="str">
        <f t="shared" ca="1" si="13"/>
        <v/>
      </c>
    </row>
    <row r="198" spans="1:18" x14ac:dyDescent="0.25">
      <c r="A198" s="32" t="s">
        <v>101</v>
      </c>
      <c r="Q198" s="1" t="str">
        <f t="shared" ca="1" si="12"/>
        <v/>
      </c>
      <c r="R198" s="1" t="str">
        <f t="shared" ca="1" si="13"/>
        <v/>
      </c>
    </row>
    <row r="199" spans="1:18" x14ac:dyDescent="0.25">
      <c r="A199" s="32" t="s">
        <v>102</v>
      </c>
      <c r="Q199" s="1" t="str">
        <f t="shared" ca="1" si="12"/>
        <v/>
      </c>
      <c r="R199" s="1" t="str">
        <f t="shared" ca="1" si="13"/>
        <v/>
      </c>
    </row>
    <row r="200" spans="1:18" x14ac:dyDescent="0.25">
      <c r="Q200" s="1" t="str">
        <f t="shared" ca="1" si="12"/>
        <v/>
      </c>
      <c r="R200" s="1" t="str">
        <f t="shared" ca="1" si="13"/>
        <v/>
      </c>
    </row>
    <row r="201" spans="1:18" x14ac:dyDescent="0.25">
      <c r="Q201" s="1" t="str">
        <f t="shared" ca="1" si="12"/>
        <v/>
      </c>
      <c r="R201" s="1" t="str">
        <f t="shared" ca="1" si="13"/>
        <v/>
      </c>
    </row>
    <row r="202" spans="1:18" x14ac:dyDescent="0.25">
      <c r="Q202" s="1" t="str">
        <f t="shared" ca="1" si="12"/>
        <v/>
      </c>
      <c r="R202" s="1" t="str">
        <f t="shared" ca="1" si="13"/>
        <v/>
      </c>
    </row>
    <row r="203" spans="1:18" x14ac:dyDescent="0.25">
      <c r="Q203" s="1" t="str">
        <f t="shared" ca="1" si="12"/>
        <v/>
      </c>
      <c r="R203" s="1" t="str">
        <f t="shared" ca="1" si="13"/>
        <v/>
      </c>
    </row>
    <row r="204" spans="1:18" x14ac:dyDescent="0.25">
      <c r="Q204" s="1" t="str">
        <f t="shared" ca="1" si="12"/>
        <v/>
      </c>
      <c r="R204" s="1" t="str">
        <f t="shared" ca="1" si="13"/>
        <v/>
      </c>
    </row>
    <row r="205" spans="1:18" x14ac:dyDescent="0.25">
      <c r="Q205" s="1" t="str">
        <f t="shared" ca="1" si="12"/>
        <v/>
      </c>
      <c r="R205" s="1" t="str">
        <f t="shared" ca="1" si="13"/>
        <v/>
      </c>
    </row>
    <row r="206" spans="1:18" x14ac:dyDescent="0.25">
      <c r="Q206" s="1" t="str">
        <f t="shared" ca="1" si="12"/>
        <v/>
      </c>
      <c r="R206" s="1" t="str">
        <f t="shared" ca="1" si="13"/>
        <v/>
      </c>
    </row>
    <row r="207" spans="1:18" x14ac:dyDescent="0.25">
      <c r="Q207" s="1" t="str">
        <f t="shared" ca="1" si="12"/>
        <v/>
      </c>
      <c r="R207" s="1" t="str">
        <f t="shared" ca="1" si="13"/>
        <v/>
      </c>
    </row>
  </sheetData>
  <mergeCells count="1">
    <mergeCell ref="J63:L65"/>
  </mergeCells>
  <pageMargins left="0.7" right="0.7" top="0.75" bottom="0.75" header="0.3" footer="0.3"/>
  <pageSetup paperSize="9" orientation="portrait" verticalDpi="0"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Lapas6"/>
  <dimension ref="A1:P304"/>
  <sheetViews>
    <sheetView zoomScale="85" zoomScaleNormal="85" workbookViewId="0">
      <pane ySplit="1" topLeftCell="A50" activePane="bottomLeft" state="frozen"/>
      <selection pane="bottomLeft" activeCell="A54" sqref="A54"/>
    </sheetView>
  </sheetViews>
  <sheetFormatPr defaultColWidth="14.28515625" defaultRowHeight="15" outlineLevelRow="1" x14ac:dyDescent="0.25"/>
  <cols>
    <col min="1" max="1" width="81.140625" customWidth="1"/>
    <col min="2" max="3" width="39.140625" bestFit="1" customWidth="1"/>
    <col min="4" max="4" width="14" customWidth="1"/>
    <col min="5" max="6" width="39.140625" bestFit="1" customWidth="1"/>
    <col min="8" max="8" width="11" customWidth="1"/>
    <col min="10" max="12" width="14.28515625" style="1" customWidth="1"/>
    <col min="13" max="16" width="14.28515625" customWidth="1"/>
  </cols>
  <sheetData>
    <row r="1" spans="1:16" x14ac:dyDescent="0.25">
      <c r="A1" t="s">
        <v>0</v>
      </c>
      <c r="J1" s="185" t="s">
        <v>111</v>
      </c>
      <c r="K1" s="185" t="s">
        <v>105</v>
      </c>
      <c r="L1" s="185" t="s">
        <v>104</v>
      </c>
      <c r="M1" s="186" t="s">
        <v>110</v>
      </c>
      <c r="N1" s="186" t="s">
        <v>111</v>
      </c>
      <c r="O1" s="186" t="s">
        <v>104</v>
      </c>
      <c r="P1" s="186" t="s">
        <v>105</v>
      </c>
    </row>
    <row r="2" spans="1:16" x14ac:dyDescent="0.25">
      <c r="A2" t="s">
        <v>1</v>
      </c>
    </row>
    <row r="3" spans="1:16" x14ac:dyDescent="0.25">
      <c r="A3" t="s">
        <v>2</v>
      </c>
    </row>
    <row r="4" spans="1:16" x14ac:dyDescent="0.25">
      <c r="A4" t="s">
        <v>3</v>
      </c>
    </row>
    <row r="5" spans="1:16" x14ac:dyDescent="0.25">
      <c r="A5" t="s">
        <v>4</v>
      </c>
    </row>
    <row r="6" spans="1:16" x14ac:dyDescent="0.25">
      <c r="A6" t="s">
        <v>5</v>
      </c>
    </row>
    <row r="7" spans="1:16" x14ac:dyDescent="0.25">
      <c r="A7" t="s">
        <v>6</v>
      </c>
    </row>
    <row r="8" spans="1:16" x14ac:dyDescent="0.25">
      <c r="A8" t="s">
        <v>7</v>
      </c>
    </row>
    <row r="9" spans="1:16" x14ac:dyDescent="0.25">
      <c r="A9" t="s">
        <v>8</v>
      </c>
    </row>
    <row r="10" spans="1:16" x14ac:dyDescent="0.25">
      <c r="A10" t="s">
        <v>9</v>
      </c>
    </row>
    <row r="11" spans="1:16" x14ac:dyDescent="0.25">
      <c r="A11" t="s">
        <v>10</v>
      </c>
    </row>
    <row r="13" spans="1:16" x14ac:dyDescent="0.25">
      <c r="A13" t="s">
        <v>11</v>
      </c>
    </row>
    <row r="14" spans="1:16" x14ac:dyDescent="0.25">
      <c r="A14" t="s">
        <v>12</v>
      </c>
    </row>
    <row r="15" spans="1:16" x14ac:dyDescent="0.25">
      <c r="A15" t="s">
        <v>13</v>
      </c>
    </row>
    <row r="16" spans="1:16" x14ac:dyDescent="0.25">
      <c r="A16" t="s">
        <v>336</v>
      </c>
    </row>
    <row r="17" spans="1:1" x14ac:dyDescent="0.25">
      <c r="A17" t="s">
        <v>337</v>
      </c>
    </row>
    <row r="18" spans="1:1" x14ac:dyDescent="0.25">
      <c r="A18" t="s">
        <v>338</v>
      </c>
    </row>
    <row r="19" spans="1:1" x14ac:dyDescent="0.25">
      <c r="A19" t="s">
        <v>339</v>
      </c>
    </row>
    <row r="20" spans="1:1" x14ac:dyDescent="0.25">
      <c r="A20" t="s">
        <v>340</v>
      </c>
    </row>
    <row r="21" spans="1:1" x14ac:dyDescent="0.25">
      <c r="A21" t="s">
        <v>341</v>
      </c>
    </row>
    <row r="22" spans="1:1" x14ac:dyDescent="0.25">
      <c r="A22" t="s">
        <v>342</v>
      </c>
    </row>
    <row r="23" spans="1:1" x14ac:dyDescent="0.25">
      <c r="A23" t="s">
        <v>343</v>
      </c>
    </row>
    <row r="24" spans="1:1" x14ac:dyDescent="0.25">
      <c r="A24" t="s">
        <v>344</v>
      </c>
    </row>
    <row r="25" spans="1:1" x14ac:dyDescent="0.25">
      <c r="A25" t="s">
        <v>345</v>
      </c>
    </row>
    <row r="26" spans="1:1" x14ac:dyDescent="0.25">
      <c r="A26" t="s">
        <v>346</v>
      </c>
    </row>
    <row r="27" spans="1:1" x14ac:dyDescent="0.25">
      <c r="A27" t="s">
        <v>347</v>
      </c>
    </row>
    <row r="28" spans="1:1" x14ac:dyDescent="0.25">
      <c r="A28" t="s">
        <v>348</v>
      </c>
    </row>
    <row r="29" spans="1:1" x14ac:dyDescent="0.25">
      <c r="A29" t="s">
        <v>349</v>
      </c>
    </row>
    <row r="30" spans="1:1" x14ac:dyDescent="0.25">
      <c r="A30" t="s">
        <v>350</v>
      </c>
    </row>
    <row r="31" spans="1:1" x14ac:dyDescent="0.25">
      <c r="A31" t="s">
        <v>14</v>
      </c>
    </row>
    <row r="32" spans="1:1" x14ac:dyDescent="0.25">
      <c r="A32" t="s">
        <v>15</v>
      </c>
    </row>
    <row r="33" spans="1:1" x14ac:dyDescent="0.25">
      <c r="A33" t="s">
        <v>310</v>
      </c>
    </row>
    <row r="34" spans="1:1" x14ac:dyDescent="0.25">
      <c r="A34" t="s">
        <v>351</v>
      </c>
    </row>
    <row r="35" spans="1:1" x14ac:dyDescent="0.25">
      <c r="A35" t="s">
        <v>16</v>
      </c>
    </row>
    <row r="36" spans="1:1" x14ac:dyDescent="0.25">
      <c r="A36" s="2" t="s">
        <v>17</v>
      </c>
    </row>
    <row r="37" spans="1:1" x14ac:dyDescent="0.25">
      <c r="A37" s="2" t="s">
        <v>18</v>
      </c>
    </row>
    <row r="38" spans="1:1" x14ac:dyDescent="0.25">
      <c r="A38" s="2" t="s">
        <v>19</v>
      </c>
    </row>
    <row r="40" spans="1:1" x14ac:dyDescent="0.25">
      <c r="A40" t="s">
        <v>20</v>
      </c>
    </row>
    <row r="41" spans="1:1" x14ac:dyDescent="0.25">
      <c r="A41" t="s">
        <v>352</v>
      </c>
    </row>
    <row r="42" spans="1:1" x14ac:dyDescent="0.25">
      <c r="A42" t="s">
        <v>353</v>
      </c>
    </row>
    <row r="43" spans="1:1" x14ac:dyDescent="0.25">
      <c r="A43" t="s">
        <v>354</v>
      </c>
    </row>
    <row r="44" spans="1:1" x14ac:dyDescent="0.25">
      <c r="A44" t="s">
        <v>355</v>
      </c>
    </row>
    <row r="45" spans="1:1" outlineLevel="1" x14ac:dyDescent="0.25">
      <c r="A45" t="s">
        <v>356</v>
      </c>
    </row>
    <row r="46" spans="1:1" x14ac:dyDescent="0.25">
      <c r="A46" t="s">
        <v>49</v>
      </c>
    </row>
    <row r="47" spans="1:1" x14ac:dyDescent="0.25">
      <c r="A47" t="s">
        <v>357</v>
      </c>
    </row>
    <row r="48" spans="1:1" x14ac:dyDescent="0.25">
      <c r="A48" t="s">
        <v>358</v>
      </c>
    </row>
    <row r="49" spans="1:16" x14ac:dyDescent="0.25">
      <c r="A49" t="s">
        <v>308</v>
      </c>
    </row>
    <row r="50" spans="1:16" x14ac:dyDescent="0.25">
      <c r="A50" s="173" t="s">
        <v>359</v>
      </c>
    </row>
    <row r="51" spans="1:16" x14ac:dyDescent="0.25">
      <c r="A51" s="173" t="s">
        <v>360</v>
      </c>
    </row>
    <row r="52" spans="1:16" x14ac:dyDescent="0.25">
      <c r="A52" t="s">
        <v>361</v>
      </c>
    </row>
    <row r="53" spans="1:16" x14ac:dyDescent="0.25">
      <c r="A53" t="s">
        <v>362</v>
      </c>
    </row>
    <row r="54" spans="1:16" x14ac:dyDescent="0.25">
      <c r="A54" t="s">
        <v>312</v>
      </c>
    </row>
    <row r="55" spans="1:16" x14ac:dyDescent="0.25">
      <c r="A55" s="2" t="s">
        <v>21</v>
      </c>
      <c r="J55" s="59" t="str">
        <f ca="1">INDIRECT("A"&amp;MATCH("Orai Kaune",A:A,0)+ROW()-56)</f>
        <v>Mano miestas</v>
      </c>
    </row>
    <row r="56" spans="1:16" x14ac:dyDescent="0.25">
      <c r="A56" s="2" t="s">
        <v>22</v>
      </c>
      <c r="J56" s="59" t="str">
        <f ca="1">INDIRECT("A"&amp;MATCH("Orai Kaune",A:A,0)+ROW()-56)</f>
        <v>Orai Kaune</v>
      </c>
    </row>
    <row r="57" spans="1:16" x14ac:dyDescent="0.25">
      <c r="A57" t="s">
        <v>203</v>
      </c>
    </row>
    <row r="58" spans="1:16" x14ac:dyDescent="0.25">
      <c r="A58" t="s">
        <v>204</v>
      </c>
    </row>
    <row r="59" spans="1:16" s="1" customFormat="1" x14ac:dyDescent="0.25">
      <c r="A59" s="1" t="s">
        <v>205</v>
      </c>
      <c r="J59" s="47" t="s">
        <v>103</v>
      </c>
      <c r="K59" s="47" t="s">
        <v>105</v>
      </c>
      <c r="L59" s="47" t="s">
        <v>104</v>
      </c>
      <c r="M59" s="162" t="s">
        <v>110</v>
      </c>
      <c r="N59" s="162" t="s">
        <v>111</v>
      </c>
      <c r="O59" s="162" t="s">
        <v>104</v>
      </c>
      <c r="P59" s="162" t="s">
        <v>105</v>
      </c>
    </row>
    <row r="60" spans="1:16" s="1" customFormat="1" x14ac:dyDescent="0.25">
      <c r="A60" s="1" t="s">
        <v>206</v>
      </c>
      <c r="J60" s="58"/>
      <c r="M60" s="163" t="e">
        <f>VLOOKUP(J60,Atitikmenys!A:C,2,0)</f>
        <v>#N/A</v>
      </c>
      <c r="N60" s="19" t="e">
        <f>VLOOKUP(J60,Atitikmenys!A:C,3,0)</f>
        <v>#N/A</v>
      </c>
      <c r="O60" s="131">
        <f>VLOOKUP(L60,Atitikmenys!C:D,2,0)</f>
        <v>0</v>
      </c>
      <c r="P60" s="132" t="e">
        <f>VLOOKUP(K60,Atitikmenys!A:C,2,0)</f>
        <v>#N/A</v>
      </c>
    </row>
    <row r="61" spans="1:16" s="1" customFormat="1" x14ac:dyDescent="0.25">
      <c r="A61" s="1" t="s">
        <v>34</v>
      </c>
      <c r="B61" s="1" t="s">
        <v>20</v>
      </c>
      <c r="C61" s="1" t="s">
        <v>20</v>
      </c>
      <c r="D61" s="1">
        <f>2+36</f>
        <v>38</v>
      </c>
      <c r="E61" s="1" t="s">
        <v>20</v>
      </c>
      <c r="F61" s="1" t="s">
        <v>20</v>
      </c>
      <c r="G61" s="1">
        <f>6+43</f>
        <v>49</v>
      </c>
      <c r="J61" s="58" t="str">
        <f ca="1">INDIRECT("A"&amp;MATCH("Orai Kaune",A:A,0)+ROW()-56)</f>
        <v>Pr</v>
      </c>
      <c r="M61" s="163" t="str">
        <f ca="1">VLOOKUP(J61,Atitikmenys!A:C,2,0)</f>
        <v>Ý</v>
      </c>
      <c r="N61" s="19" t="str">
        <f ca="1">VLOOKUP(J61,Atitikmenys!A:C,3,0)</f>
        <v>pietryčių</v>
      </c>
      <c r="O61" s="130" t="e">
        <f>VLOOKUP(L61,Atitikmenys!A:B,2,0)</f>
        <v>#N/A</v>
      </c>
      <c r="P61" s="132" t="e">
        <f>VLOOKUP(K61,Atitikmenys!A:C,2,0)</f>
        <v>#N/A</v>
      </c>
    </row>
    <row r="62" spans="1:16" s="1" customFormat="1" x14ac:dyDescent="0.25">
      <c r="A62" s="1" t="s">
        <v>313</v>
      </c>
      <c r="J62" s="58" t="str">
        <f ca="1">INDIRECT("A"&amp;MATCH("Orai Kaune",A:A,0)+ROW()-56)</f>
        <v>23.10</v>
      </c>
      <c r="M62" s="163" t="e">
        <f ca="1">VLOOKUP(J62,Atitikmenys!A:C,2,0)</f>
        <v>#N/A</v>
      </c>
      <c r="N62" s="19" t="e">
        <f ca="1">VLOOKUP(J62,Atitikmenys!A:C,3,0)</f>
        <v>#N/A</v>
      </c>
      <c r="O62" s="131">
        <f>VLOOKUP(L62,Atitikmenys!C:D,2,0)</f>
        <v>0</v>
      </c>
      <c r="P62" s="132" t="e">
        <f>VLOOKUP(K62,Atitikmenys!A:C,2,0)</f>
        <v>#N/A</v>
      </c>
    </row>
    <row r="63" spans="1:16" s="1" customFormat="1" x14ac:dyDescent="0.25">
      <c r="A63" s="1" t="s">
        <v>314</v>
      </c>
      <c r="D63" s="1" t="s">
        <v>25</v>
      </c>
      <c r="E63" s="1" t="s">
        <v>26</v>
      </c>
      <c r="F63" s="1" t="s">
        <v>207</v>
      </c>
      <c r="G63" s="1" t="s">
        <v>27</v>
      </c>
      <c r="H63" s="1" t="s">
        <v>28</v>
      </c>
      <c r="J63" s="58" t="str">
        <f ca="1">INDIRECT("A"&amp;MATCH("Orai Kaune",A:A,0)+ROW()-56)</f>
        <v>Pr, 23 spalio</v>
      </c>
      <c r="L63" s="161" t="str">
        <f t="shared" ref="L63:L70" ca="1" si="0">INDIRECT("F"&amp;MATCH("Orai Kaune",A:A,0)+ROW()-55)</f>
        <v>PR</v>
      </c>
      <c r="M63" s="163" t="e">
        <f ca="1">VLOOKUP(J63,Atitikmenys!A:C,2,0)</f>
        <v>#N/A</v>
      </c>
      <c r="N63" s="19" t="e">
        <f ca="1">VLOOKUP(J63,Atitikmenys!A:C,3,0)</f>
        <v>#N/A</v>
      </c>
      <c r="O63" s="130" t="str">
        <f ca="1">VLOOKUP(L63,Atitikmenys!A:B,2,0)</f>
        <v>Ý</v>
      </c>
      <c r="P63" s="132" t="e">
        <f>VLOOKUP(K63,Atitikmenys!A:C,2,0)</f>
        <v>#N/A</v>
      </c>
    </row>
    <row r="64" spans="1:16" x14ac:dyDescent="0.25">
      <c r="A64" t="s">
        <v>205</v>
      </c>
      <c r="B64" t="s">
        <v>20</v>
      </c>
      <c r="C64" t="s">
        <v>20</v>
      </c>
      <c r="D64">
        <f>2+36</f>
        <v>38</v>
      </c>
      <c r="E64">
        <v>755301007</v>
      </c>
      <c r="F64" t="s">
        <v>48</v>
      </c>
      <c r="G64">
        <v>92</v>
      </c>
      <c r="H64" t="s">
        <v>319</v>
      </c>
      <c r="J64" s="161" t="str">
        <f ca="1">INDIRECT("B"&amp;MATCH("Orai Kaune",A:A,0)+ROW()-56)</f>
        <v>Didelis debesuotumas</v>
      </c>
      <c r="K64" s="161">
        <f ca="1">INDIRECT("D"&amp;MATCH("Orai Kaune",A:A,0)+ROW()-56)</f>
        <v>38</v>
      </c>
      <c r="L64" s="161">
        <f t="shared" ca="1" si="0"/>
        <v>3711</v>
      </c>
      <c r="M64" s="163" t="str">
        <f ca="1">VLOOKUP(J64,Atitikmenys!A:C,2,0)</f>
        <v>ÙÙ</v>
      </c>
      <c r="N64" s="19" t="str">
        <f ca="1">VLOOKUP(J64,Atitikmenys!A:C,3,0)</f>
        <v xml:space="preserve"> </v>
      </c>
      <c r="O64" s="131">
        <f ca="1">VLOOKUP(L64,Atitikmenys!C:D,2,0)</f>
        <v>3</v>
      </c>
      <c r="P64" s="132">
        <f ca="1">VLOOKUP(K64,Atitikmenys!A:C,2,0)</f>
        <v>2</v>
      </c>
    </row>
    <row r="65" spans="1:16" x14ac:dyDescent="0.25">
      <c r="F65">
        <v>3711</v>
      </c>
      <c r="J65" s="161"/>
      <c r="K65" s="161"/>
      <c r="L65" s="161" t="str">
        <f t="shared" ca="1" si="0"/>
        <v>R</v>
      </c>
      <c r="M65" s="163" t="e">
        <f>VLOOKUP(J65,Atitikmenys!A:C,2,0)</f>
        <v>#N/A</v>
      </c>
      <c r="N65" s="19" t="e">
        <f>VLOOKUP(J65,Atitikmenys!A:C,3,0)</f>
        <v>#N/A</v>
      </c>
      <c r="O65" s="130" t="str">
        <f ca="1">VLOOKUP(L65,Atitikmenys!A:B,2,0)</f>
        <v>Ù</v>
      </c>
      <c r="P65" s="132" t="e">
        <f>VLOOKUP(K65,Atitikmenys!A:C,2,0)</f>
        <v>#N/A</v>
      </c>
    </row>
    <row r="66" spans="1:16" x14ac:dyDescent="0.25">
      <c r="A66" t="s">
        <v>208</v>
      </c>
      <c r="B66" t="s">
        <v>20</v>
      </c>
      <c r="C66" t="s">
        <v>20</v>
      </c>
      <c r="D66">
        <f>4+39</f>
        <v>43</v>
      </c>
      <c r="E66">
        <v>760301013</v>
      </c>
      <c r="F66" t="s">
        <v>49</v>
      </c>
      <c r="G66">
        <v>80</v>
      </c>
      <c r="H66">
        <f>2+36</f>
        <v>38</v>
      </c>
      <c r="J66" s="161" t="str">
        <f ca="1">INDIRECT("B"&amp;MATCH("Orai Kaune",A:A,0)+ROW()-56)</f>
        <v>Didelis debesuotumas</v>
      </c>
      <c r="K66" s="161">
        <f ca="1">INDIRECT("D"&amp;MATCH("Orai Kaune",A:A,0)+ROW()-56)</f>
        <v>43</v>
      </c>
      <c r="L66" s="161">
        <f t="shared" ca="1" si="0"/>
        <v>4914</v>
      </c>
      <c r="M66" s="163" t="str">
        <f ca="1">VLOOKUP(J66,Atitikmenys!A:C,2,0)</f>
        <v>ÙÙ</v>
      </c>
      <c r="N66" s="19" t="str">
        <f ca="1">VLOOKUP(J66,Atitikmenys!A:C,3,0)</f>
        <v xml:space="preserve"> </v>
      </c>
      <c r="O66" s="131">
        <f ca="1">VLOOKUP(L66,Atitikmenys!C:D,2,0)</f>
        <v>4</v>
      </c>
      <c r="P66" s="132">
        <f ca="1">VLOOKUP(K66,Atitikmenys!A:C,2,0)</f>
        <v>4</v>
      </c>
    </row>
    <row r="67" spans="1:16" x14ac:dyDescent="0.25">
      <c r="F67">
        <v>4914</v>
      </c>
      <c r="J67" s="161"/>
      <c r="K67" s="161"/>
      <c r="L67" s="161" t="str">
        <f t="shared" ca="1" si="0"/>
        <v>R</v>
      </c>
      <c r="M67" s="163" t="e">
        <f>VLOOKUP(J67,Atitikmenys!A:C,2,0)</f>
        <v>#N/A</v>
      </c>
      <c r="N67" s="19" t="e">
        <f>VLOOKUP(J67,Atitikmenys!A:C,3,0)</f>
        <v>#N/A</v>
      </c>
      <c r="O67" s="130" t="str">
        <f ca="1">VLOOKUP(L67,Atitikmenys!A:B,2,0)</f>
        <v>Ù</v>
      </c>
      <c r="P67" s="132" t="e">
        <f>VLOOKUP(K67,Atitikmenys!A:C,2,0)</f>
        <v>#N/A</v>
      </c>
    </row>
    <row r="68" spans="1:16" x14ac:dyDescent="0.25">
      <c r="A68" t="s">
        <v>206</v>
      </c>
      <c r="B68" t="s">
        <v>20</v>
      </c>
      <c r="C68" t="s">
        <v>20</v>
      </c>
      <c r="D68">
        <f>6+43</f>
        <v>49</v>
      </c>
      <c r="E68">
        <v>761301015</v>
      </c>
      <c r="F68" t="s">
        <v>49</v>
      </c>
      <c r="G68">
        <v>59</v>
      </c>
      <c r="H68">
        <f>4+39</f>
        <v>43</v>
      </c>
      <c r="J68" s="161" t="str">
        <f ca="1">INDIRECT("B"&amp;MATCH("Orai Kaune",A:A,0)+ROW()-56)</f>
        <v>Didelis debesuotumas</v>
      </c>
      <c r="K68" s="161">
        <f ca="1">INDIRECT("D"&amp;MATCH("Orai Kaune",A:A,0)+ROW()-56)</f>
        <v>49</v>
      </c>
      <c r="L68" s="161">
        <f t="shared" ca="1" si="0"/>
        <v>51118</v>
      </c>
      <c r="M68" s="163" t="str">
        <f ca="1">VLOOKUP(J68,Atitikmenys!A:C,2,0)</f>
        <v>ÙÙ</v>
      </c>
      <c r="N68" s="19" t="str">
        <f ca="1">VLOOKUP(J68,Atitikmenys!A:C,3,0)</f>
        <v xml:space="preserve"> </v>
      </c>
      <c r="O68" s="131">
        <f ca="1">VLOOKUP(L68,Atitikmenys!C:D,2,0)</f>
        <v>5</v>
      </c>
      <c r="P68" s="132">
        <f ca="1">VLOOKUP(K68,Atitikmenys!A:C,2,0)</f>
        <v>6</v>
      </c>
    </row>
    <row r="69" spans="1:16" x14ac:dyDescent="0.25">
      <c r="F69">
        <v>51118</v>
      </c>
      <c r="J69" s="161"/>
      <c r="K69" s="161"/>
      <c r="L69" s="161" t="str">
        <f t="shared" ca="1" si="0"/>
        <v>R</v>
      </c>
      <c r="M69" s="163" t="e">
        <f>VLOOKUP(J69,Atitikmenys!A:C,2,0)</f>
        <v>#N/A</v>
      </c>
      <c r="N69" s="19" t="e">
        <f>VLOOKUP(J69,Atitikmenys!A:C,3,0)</f>
        <v>#N/A</v>
      </c>
      <c r="O69" s="130" t="str">
        <f ca="1">VLOOKUP(L69,Atitikmenys!A:B,2,0)</f>
        <v>Ù</v>
      </c>
      <c r="P69" s="132" t="e">
        <f>VLOOKUP(K69,Atitikmenys!A:C,2,0)</f>
        <v>#N/A</v>
      </c>
    </row>
    <row r="70" spans="1:16" x14ac:dyDescent="0.25">
      <c r="A70" t="s">
        <v>209</v>
      </c>
      <c r="B70" t="s">
        <v>20</v>
      </c>
      <c r="C70" t="s">
        <v>20</v>
      </c>
      <c r="D70">
        <f>5+41</f>
        <v>46</v>
      </c>
      <c r="E70">
        <v>764301019</v>
      </c>
      <c r="F70" t="s">
        <v>49</v>
      </c>
      <c r="G70">
        <v>69</v>
      </c>
      <c r="H70">
        <f>3+37</f>
        <v>40</v>
      </c>
      <c r="J70" s="161" t="str">
        <f ca="1">INDIRECT("B"&amp;MATCH("Orai Kaune",A:A,0)+ROW()-56)</f>
        <v>Didelis debesuotumas</v>
      </c>
      <c r="K70" s="161">
        <f ca="1">INDIRECT("D"&amp;MATCH("Orai Kaune",A:A,0)+ROW()-56)</f>
        <v>46</v>
      </c>
      <c r="L70" s="161">
        <f t="shared" ca="1" si="0"/>
        <v>51118</v>
      </c>
      <c r="M70" s="163" t="str">
        <f ca="1">VLOOKUP(J70,Atitikmenys!A:C,2,0)</f>
        <v>ÙÙ</v>
      </c>
      <c r="N70" s="19" t="str">
        <f ca="1">VLOOKUP(J70,Atitikmenys!A:C,3,0)</f>
        <v xml:space="preserve"> </v>
      </c>
      <c r="O70" s="131">
        <f ca="1">VLOOKUP(L70,Atitikmenys!C:D,2,0)</f>
        <v>5</v>
      </c>
      <c r="P70" s="132">
        <f ca="1">VLOOKUP(K70,Atitikmenys!A:C,2,0)</f>
        <v>5</v>
      </c>
    </row>
    <row r="71" spans="1:16" x14ac:dyDescent="0.25">
      <c r="F71">
        <v>51118</v>
      </c>
      <c r="J71" s="161"/>
      <c r="K71" s="161"/>
      <c r="L71" s="38"/>
      <c r="M71" s="163" t="e">
        <f>VLOOKUP(J71,Atitikmenys!A:C,2,0)</f>
        <v>#N/A</v>
      </c>
      <c r="N71" s="19" t="e">
        <f>VLOOKUP(J71,Atitikmenys!A:C,3,0)</f>
        <v>#N/A</v>
      </c>
      <c r="O71" s="130" t="e">
        <f>VLOOKUP(L71,Atitikmenys!A:B,2,0)</f>
        <v>#N/A</v>
      </c>
      <c r="P71" s="132" t="e">
        <f>VLOOKUP(K71,Atitikmenys!A:C,2,0)</f>
        <v>#N/A</v>
      </c>
    </row>
    <row r="72" spans="1:16" s="1" customFormat="1" x14ac:dyDescent="0.25">
      <c r="A72" s="1" t="s">
        <v>205</v>
      </c>
      <c r="J72" s="47" t="s">
        <v>103</v>
      </c>
      <c r="K72" s="47" t="s">
        <v>105</v>
      </c>
      <c r="L72" s="47" t="s">
        <v>104</v>
      </c>
      <c r="M72" s="162" t="s">
        <v>110</v>
      </c>
      <c r="N72" s="162" t="s">
        <v>111</v>
      </c>
      <c r="O72" s="162" t="s">
        <v>104</v>
      </c>
      <c r="P72" s="162" t="s">
        <v>105</v>
      </c>
    </row>
    <row r="73" spans="1:16" s="1" customFormat="1" x14ac:dyDescent="0.25">
      <c r="A73" s="1" t="s">
        <v>206</v>
      </c>
      <c r="J73" s="58"/>
      <c r="M73" s="163" t="e">
        <f>VLOOKUP(J73,Atitikmenys!A:C,2,0)</f>
        <v>#N/A</v>
      </c>
      <c r="N73" s="19" t="e">
        <f>VLOOKUP(J73,Atitikmenys!A:C,3,0)</f>
        <v>#N/A</v>
      </c>
      <c r="O73" s="131">
        <f>VLOOKUP(L73,Atitikmenys!C:D,2,0)</f>
        <v>0</v>
      </c>
      <c r="P73" s="132" t="e">
        <f>VLOOKUP(K73,Atitikmenys!A:C,2,0)</f>
        <v>#N/A</v>
      </c>
    </row>
    <row r="74" spans="1:16" s="1" customFormat="1" x14ac:dyDescent="0.25">
      <c r="A74" s="1" t="s">
        <v>37</v>
      </c>
      <c r="B74" s="1" t="s">
        <v>24</v>
      </c>
      <c r="C74" s="1" t="s">
        <v>24</v>
      </c>
      <c r="D74" s="1">
        <f>3+37</f>
        <v>40</v>
      </c>
      <c r="E74" s="1" t="s">
        <v>20</v>
      </c>
      <c r="F74" s="1" t="s">
        <v>20</v>
      </c>
      <c r="G74" s="1">
        <f>5+41</f>
        <v>46</v>
      </c>
      <c r="J74" s="58" t="str">
        <f ca="1">INDIRECT("A"&amp;MATCH("Orai Kaune",A:A,0)+ROW()-56)</f>
        <v>An</v>
      </c>
      <c r="M74" s="163" t="e">
        <f ca="1">VLOOKUP(J74,Atitikmenys!A:C,2,0)</f>
        <v>#N/A</v>
      </c>
      <c r="N74" s="19" t="e">
        <f ca="1">VLOOKUP(J74,Atitikmenys!A:C,3,0)</f>
        <v>#N/A</v>
      </c>
      <c r="O74" s="130" t="e">
        <f>VLOOKUP(L74,Atitikmenys!A:B,2,0)</f>
        <v>#N/A</v>
      </c>
      <c r="P74" s="132" t="e">
        <f>VLOOKUP(K74,Atitikmenys!A:C,2,0)</f>
        <v>#N/A</v>
      </c>
    </row>
    <row r="75" spans="1:16" s="1" customFormat="1" x14ac:dyDescent="0.25">
      <c r="A75" s="1" t="s">
        <v>315</v>
      </c>
      <c r="J75" s="58" t="str">
        <f ca="1">INDIRECT("A"&amp;MATCH("Orai Kaune",A:A,0)+ROW()-56)</f>
        <v>24.10</v>
      </c>
      <c r="M75" s="163" t="e">
        <f ca="1">VLOOKUP(J75,Atitikmenys!A:C,2,0)</f>
        <v>#N/A</v>
      </c>
      <c r="N75" s="19" t="e">
        <f ca="1">VLOOKUP(J75,Atitikmenys!A:C,3,0)</f>
        <v>#N/A</v>
      </c>
      <c r="O75" s="131">
        <f>VLOOKUP(L75,Atitikmenys!C:D,2,0)</f>
        <v>0</v>
      </c>
      <c r="P75" s="132" t="e">
        <f>VLOOKUP(K75,Atitikmenys!A:C,2,0)</f>
        <v>#N/A</v>
      </c>
    </row>
    <row r="76" spans="1:16" s="1" customFormat="1" x14ac:dyDescent="0.25">
      <c r="A76" s="1" t="s">
        <v>316</v>
      </c>
      <c r="D76" s="1" t="s">
        <v>25</v>
      </c>
      <c r="E76" s="1" t="s">
        <v>26</v>
      </c>
      <c r="F76" s="1" t="s">
        <v>207</v>
      </c>
      <c r="G76" s="1" t="s">
        <v>27</v>
      </c>
      <c r="H76" s="1" t="s">
        <v>28</v>
      </c>
      <c r="J76" s="58" t="str">
        <f ca="1">INDIRECT("A"&amp;MATCH("Orai Kaune",A:A,0)+ROW()-56)</f>
        <v>An, 24 spalio</v>
      </c>
      <c r="L76" s="161" t="str">
        <f t="shared" ref="L76:L83" ca="1" si="1">INDIRECT("F"&amp;MATCH("Orai Kaune",A:A,0)+ROW()-55)</f>
        <v>R</v>
      </c>
      <c r="M76" s="163" t="e">
        <f ca="1">VLOOKUP(J76,Atitikmenys!A:C,2,0)</f>
        <v>#N/A</v>
      </c>
      <c r="N76" s="19" t="e">
        <f ca="1">VLOOKUP(J76,Atitikmenys!A:C,3,0)</f>
        <v>#N/A</v>
      </c>
      <c r="O76" s="130" t="str">
        <f ca="1">VLOOKUP(L76,Atitikmenys!A:B,2,0)</f>
        <v>Ù</v>
      </c>
      <c r="P76" s="132" t="e">
        <f>VLOOKUP(K76,Atitikmenys!A:C,2,0)</f>
        <v>#N/A</v>
      </c>
    </row>
    <row r="77" spans="1:16" s="129" customFormat="1" x14ac:dyDescent="0.25">
      <c r="A77" s="128" t="s">
        <v>205</v>
      </c>
      <c r="B77" s="129" t="s">
        <v>24</v>
      </c>
      <c r="C77" s="129" t="s">
        <v>24</v>
      </c>
      <c r="D77" s="129">
        <f>3+37</f>
        <v>40</v>
      </c>
      <c r="E77" s="129">
        <v>767301023</v>
      </c>
      <c r="F77" s="129" t="s">
        <v>49</v>
      </c>
      <c r="G77" s="129">
        <v>72</v>
      </c>
      <c r="H77" s="129">
        <f>1+34</f>
        <v>35</v>
      </c>
      <c r="J77" s="161" t="str">
        <f ca="1">INDIRECT("B"&amp;MATCH("Orai Kaune",A:A,0)+ROW()-56)</f>
        <v>Debesuota</v>
      </c>
      <c r="K77" s="161">
        <f ca="1">INDIRECT("D"&amp;MATCH("Orai Kaune",A:A,0)+ROW()-56)</f>
        <v>40</v>
      </c>
      <c r="L77" s="161">
        <f t="shared" ca="1" si="1"/>
        <v>4914</v>
      </c>
      <c r="M77" s="163" t="str">
        <f ca="1">VLOOKUP(J77,Atitikmenys!A:C,2,0)</f>
        <v>Ù</v>
      </c>
      <c r="N77" s="19" t="str">
        <f ca="1">VLOOKUP(J77,Atitikmenys!A:C,3,0)</f>
        <v xml:space="preserve"> </v>
      </c>
      <c r="O77" s="131">
        <f ca="1">VLOOKUP(L77,Atitikmenys!C:D,2,0)</f>
        <v>4</v>
      </c>
      <c r="P77" s="132">
        <f ca="1">VLOOKUP(K77,Atitikmenys!A:C,2,0)</f>
        <v>3</v>
      </c>
    </row>
    <row r="78" spans="1:16" s="134" customFormat="1" x14ac:dyDescent="0.25">
      <c r="A78" s="133"/>
      <c r="F78" s="134">
        <v>4914</v>
      </c>
      <c r="J78" s="161"/>
      <c r="K78" s="161"/>
      <c r="L78" s="161" t="str">
        <f t="shared" ca="1" si="1"/>
        <v>R</v>
      </c>
      <c r="M78" s="163" t="e">
        <f>VLOOKUP(J78,Atitikmenys!A:C,2,0)</f>
        <v>#N/A</v>
      </c>
      <c r="N78" s="19" t="e">
        <f>VLOOKUP(J78,Atitikmenys!A:C,3,0)</f>
        <v>#N/A</v>
      </c>
      <c r="O78" s="130" t="str">
        <f ca="1">VLOOKUP(L78,Atitikmenys!A:B,2,0)</f>
        <v>Ù</v>
      </c>
      <c r="P78" s="132" t="e">
        <f>VLOOKUP(K78,Atitikmenys!A:C,2,0)</f>
        <v>#N/A</v>
      </c>
    </row>
    <row r="79" spans="1:16" s="129" customFormat="1" x14ac:dyDescent="0.25">
      <c r="A79" s="128" t="s">
        <v>208</v>
      </c>
      <c r="B79" s="129" t="s">
        <v>47</v>
      </c>
      <c r="C79" s="129" t="s">
        <v>47</v>
      </c>
      <c r="D79" s="129">
        <f>1+34</f>
        <v>35</v>
      </c>
      <c r="E79" s="129">
        <v>769301025</v>
      </c>
      <c r="F79" s="129" t="s">
        <v>49</v>
      </c>
      <c r="G79" s="129">
        <v>83</v>
      </c>
      <c r="H79" s="129" t="s">
        <v>319</v>
      </c>
      <c r="J79" s="161" t="str">
        <f ca="1">INDIRECT("B"&amp;MATCH("Orai Kaune",A:A,0)+ROW()-56)</f>
        <v>Mažas debesuotumas</v>
      </c>
      <c r="K79" s="161">
        <f ca="1">INDIRECT("D"&amp;MATCH("Orai Kaune",A:A,0)+ROW()-56)</f>
        <v>35</v>
      </c>
      <c r="L79" s="161">
        <f t="shared" ca="1" si="1"/>
        <v>3711</v>
      </c>
      <c r="M79" s="163" t="str">
        <f ca="1">VLOOKUP(J79,Atitikmenys!A:C,2,0)</f>
        <v>Ö</v>
      </c>
      <c r="N79" s="19" t="str">
        <f ca="1">VLOOKUP(J79,Atitikmenys!A:C,3,0)</f>
        <v xml:space="preserve"> </v>
      </c>
      <c r="O79" s="131">
        <f ca="1">VLOOKUP(L79,Atitikmenys!C:D,2,0)</f>
        <v>3</v>
      </c>
      <c r="P79" s="132">
        <f ca="1">VLOOKUP(K79,Atitikmenys!A:C,2,0)</f>
        <v>1</v>
      </c>
    </row>
    <row r="80" spans="1:16" s="134" customFormat="1" x14ac:dyDescent="0.25">
      <c r="A80" s="133"/>
      <c r="F80" s="134">
        <v>3711</v>
      </c>
      <c r="J80" s="161"/>
      <c r="K80" s="161"/>
      <c r="L80" s="161" t="str">
        <f t="shared" ca="1" si="1"/>
        <v>PR</v>
      </c>
      <c r="M80" s="163" t="e">
        <f>VLOOKUP(J80,Atitikmenys!A:C,2,0)</f>
        <v>#N/A</v>
      </c>
      <c r="N80" s="19" t="e">
        <f>VLOOKUP(J80,Atitikmenys!A:C,3,0)</f>
        <v>#N/A</v>
      </c>
      <c r="O80" s="130" t="str">
        <f ca="1">VLOOKUP(L80,Atitikmenys!A:B,2,0)</f>
        <v>Ý</v>
      </c>
      <c r="P80" s="132" t="e">
        <f>VLOOKUP(K80,Atitikmenys!A:C,2,0)</f>
        <v>#N/A</v>
      </c>
    </row>
    <row r="81" spans="1:16" s="129" customFormat="1" x14ac:dyDescent="0.25">
      <c r="A81" s="128" t="s">
        <v>206</v>
      </c>
      <c r="B81" s="129" t="s">
        <v>20</v>
      </c>
      <c r="C81" s="129" t="s">
        <v>20</v>
      </c>
      <c r="D81" s="129">
        <f>5+41</f>
        <v>46</v>
      </c>
      <c r="E81" s="129">
        <v>769301025</v>
      </c>
      <c r="F81" s="129" t="s">
        <v>48</v>
      </c>
      <c r="G81" s="129">
        <v>54</v>
      </c>
      <c r="H81" s="129">
        <f>3+37</f>
        <v>40</v>
      </c>
      <c r="J81" s="161" t="str">
        <f ca="1">INDIRECT("B"&amp;MATCH("Orai Kaune",A:A,0)+ROW()-56)</f>
        <v>Didelis debesuotumas</v>
      </c>
      <c r="K81" s="161">
        <f ca="1">INDIRECT("D"&amp;MATCH("Orai Kaune",A:A,0)+ROW()-56)</f>
        <v>46</v>
      </c>
      <c r="L81" s="161">
        <f t="shared" ca="1" si="1"/>
        <v>4914</v>
      </c>
      <c r="M81" s="163" t="str">
        <f ca="1">VLOOKUP(J81,Atitikmenys!A:C,2,0)</f>
        <v>ÙÙ</v>
      </c>
      <c r="N81" s="19" t="str">
        <f ca="1">VLOOKUP(J81,Atitikmenys!A:C,3,0)</f>
        <v xml:space="preserve"> </v>
      </c>
      <c r="O81" s="131">
        <f ca="1">VLOOKUP(L81,Atitikmenys!C:D,2,0)</f>
        <v>4</v>
      </c>
      <c r="P81" s="132">
        <f ca="1">VLOOKUP(K81,Atitikmenys!A:C,2,0)</f>
        <v>5</v>
      </c>
    </row>
    <row r="82" spans="1:16" s="134" customFormat="1" x14ac:dyDescent="0.25">
      <c r="A82" s="133"/>
      <c r="F82" s="134">
        <v>4914</v>
      </c>
      <c r="J82" s="161"/>
      <c r="K82" s="161"/>
      <c r="L82" s="161" t="str">
        <f t="shared" ca="1" si="1"/>
        <v>PR</v>
      </c>
      <c r="M82" s="163" t="e">
        <f>VLOOKUP(J82,Atitikmenys!A:C,2,0)</f>
        <v>#N/A</v>
      </c>
      <c r="N82" s="19" t="e">
        <f>VLOOKUP(J82,Atitikmenys!A:C,3,0)</f>
        <v>#N/A</v>
      </c>
      <c r="O82" s="130" t="str">
        <f ca="1">VLOOKUP(L82,Atitikmenys!A:B,2,0)</f>
        <v>Ý</v>
      </c>
      <c r="P82" s="132" t="e">
        <f>VLOOKUP(K82,Atitikmenys!A:C,2,0)</f>
        <v>#N/A</v>
      </c>
    </row>
    <row r="83" spans="1:16" s="129" customFormat="1" x14ac:dyDescent="0.25">
      <c r="A83" s="128" t="s">
        <v>209</v>
      </c>
      <c r="B83" s="129" t="s">
        <v>20</v>
      </c>
      <c r="C83" s="129" t="s">
        <v>20</v>
      </c>
      <c r="D83" s="129">
        <f>3+37</f>
        <v>40</v>
      </c>
      <c r="E83" s="129">
        <v>770301027</v>
      </c>
      <c r="F83" s="129" t="s">
        <v>48</v>
      </c>
      <c r="G83" s="129">
        <v>63</v>
      </c>
      <c r="H83" s="129">
        <f>3+37</f>
        <v>40</v>
      </c>
      <c r="J83" s="161" t="str">
        <f ca="1">INDIRECT("B"&amp;MATCH("Orai Kaune",A:A,0)+ROW()-56)</f>
        <v>Didelis debesuotumas</v>
      </c>
      <c r="K83" s="161">
        <f ca="1">INDIRECT("D"&amp;MATCH("Orai Kaune",A:A,0)+ROW()-56)</f>
        <v>40</v>
      </c>
      <c r="L83" s="161">
        <f t="shared" ca="1" si="1"/>
        <v>247</v>
      </c>
      <c r="M83" s="163" t="str">
        <f ca="1">VLOOKUP(J83,Atitikmenys!A:C,2,0)</f>
        <v>ÙÙ</v>
      </c>
      <c r="N83" s="19" t="str">
        <f ca="1">VLOOKUP(J83,Atitikmenys!A:C,3,0)</f>
        <v xml:space="preserve"> </v>
      </c>
      <c r="O83" s="131">
        <f ca="1">VLOOKUP(L83,Atitikmenys!C:D,2,0)</f>
        <v>2</v>
      </c>
      <c r="P83" s="132">
        <f ca="1">VLOOKUP(K83,Atitikmenys!A:C,2,0)</f>
        <v>3</v>
      </c>
    </row>
    <row r="84" spans="1:16" s="134" customFormat="1" x14ac:dyDescent="0.25">
      <c r="A84" s="133"/>
      <c r="F84" s="134">
        <v>247</v>
      </c>
      <c r="J84" s="161"/>
      <c r="K84" s="161"/>
      <c r="L84" s="38"/>
      <c r="M84" s="163" t="e">
        <f>VLOOKUP(J84,Atitikmenys!A:C,2,0)</f>
        <v>#N/A</v>
      </c>
      <c r="N84" s="19" t="e">
        <f>VLOOKUP(J84,Atitikmenys!A:C,3,0)</f>
        <v>#N/A</v>
      </c>
      <c r="O84" s="130" t="e">
        <f>VLOOKUP(L84,Atitikmenys!A:B,2,0)</f>
        <v>#N/A</v>
      </c>
      <c r="P84" s="132" t="e">
        <f>VLOOKUP(K84,Atitikmenys!A:C,2,0)</f>
        <v>#N/A</v>
      </c>
    </row>
    <row r="85" spans="1:16" s="1" customFormat="1" x14ac:dyDescent="0.25">
      <c r="A85" s="1" t="s">
        <v>205</v>
      </c>
      <c r="J85" s="47" t="s">
        <v>103</v>
      </c>
      <c r="K85" s="47" t="s">
        <v>105</v>
      </c>
      <c r="L85" s="47" t="s">
        <v>104</v>
      </c>
      <c r="M85" s="162" t="s">
        <v>110</v>
      </c>
      <c r="N85" s="162" t="s">
        <v>111</v>
      </c>
      <c r="O85" s="162" t="s">
        <v>104</v>
      </c>
      <c r="P85" s="162" t="s">
        <v>105</v>
      </c>
    </row>
    <row r="86" spans="1:16" s="1" customFormat="1" x14ac:dyDescent="0.25">
      <c r="A86" s="1" t="s">
        <v>206</v>
      </c>
      <c r="J86" s="58"/>
      <c r="M86" s="163" t="e">
        <f>VLOOKUP(J86,Atitikmenys!A:C,2,0)</f>
        <v>#N/A</v>
      </c>
      <c r="N86" s="19" t="e">
        <f>VLOOKUP(J86,Atitikmenys!A:C,3,0)</f>
        <v>#N/A</v>
      </c>
      <c r="O86" s="131">
        <f>VLOOKUP(L86,Atitikmenys!C:D,2,0)</f>
        <v>0</v>
      </c>
      <c r="P86" s="132" t="e">
        <f>VLOOKUP(K86,Atitikmenys!A:C,2,0)</f>
        <v>#N/A</v>
      </c>
    </row>
    <row r="87" spans="1:16" s="1" customFormat="1" x14ac:dyDescent="0.25">
      <c r="A87" s="1" t="s">
        <v>40</v>
      </c>
      <c r="B87" s="1" t="s">
        <v>47</v>
      </c>
      <c r="C87" s="1" t="s">
        <v>47</v>
      </c>
      <c r="D87" s="1">
        <f>2+36</f>
        <v>38</v>
      </c>
      <c r="E87" s="1" t="s">
        <v>20</v>
      </c>
      <c r="F87" s="1" t="s">
        <v>20</v>
      </c>
      <c r="G87" s="1">
        <f>5+41</f>
        <v>46</v>
      </c>
      <c r="J87" s="58" t="str">
        <f ca="1">INDIRECT("A"&amp;MATCH("Orai Kaune",A:A,0)+ROW()-56)</f>
        <v>Tr</v>
      </c>
      <c r="M87" s="163" t="e">
        <f ca="1">VLOOKUP(J87,Atitikmenys!A:C,2,0)</f>
        <v>#N/A</v>
      </c>
      <c r="N87" s="19" t="e">
        <f ca="1">VLOOKUP(J87,Atitikmenys!A:C,3,0)</f>
        <v>#N/A</v>
      </c>
      <c r="O87" s="130" t="e">
        <f>VLOOKUP(L87,Atitikmenys!A:B,2,0)</f>
        <v>#N/A</v>
      </c>
      <c r="P87" s="132" t="e">
        <f>VLOOKUP(K87,Atitikmenys!A:C,2,0)</f>
        <v>#N/A</v>
      </c>
    </row>
    <row r="88" spans="1:16" s="1" customFormat="1" x14ac:dyDescent="0.25">
      <c r="A88" s="1" t="s">
        <v>317</v>
      </c>
      <c r="J88" s="58" t="str">
        <f ca="1">INDIRECT("A"&amp;MATCH("Orai Kaune",A:A,0)+ROW()-56)</f>
        <v>25.10</v>
      </c>
      <c r="M88" s="163" t="e">
        <f ca="1">VLOOKUP(J88,Atitikmenys!A:C,2,0)</f>
        <v>#N/A</v>
      </c>
      <c r="N88" s="19" t="e">
        <f ca="1">VLOOKUP(J88,Atitikmenys!A:C,3,0)</f>
        <v>#N/A</v>
      </c>
      <c r="O88" s="131">
        <f>VLOOKUP(L88,Atitikmenys!C:D,2,0)</f>
        <v>0</v>
      </c>
      <c r="P88" s="132" t="e">
        <f>VLOOKUP(K88,Atitikmenys!A:C,2,0)</f>
        <v>#N/A</v>
      </c>
    </row>
    <row r="89" spans="1:16" s="1" customFormat="1" x14ac:dyDescent="0.25">
      <c r="A89" s="1" t="s">
        <v>318</v>
      </c>
      <c r="D89" s="1" t="s">
        <v>25</v>
      </c>
      <c r="E89" s="1" t="s">
        <v>26</v>
      </c>
      <c r="F89" s="1" t="s">
        <v>207</v>
      </c>
      <c r="G89" s="1" t="s">
        <v>27</v>
      </c>
      <c r="H89" s="1" t="s">
        <v>28</v>
      </c>
      <c r="J89" s="58" t="str">
        <f ca="1">INDIRECT("A"&amp;MATCH("Orai Kaune",A:A,0)+ROW()-56)</f>
        <v>Tr, 25 spalio</v>
      </c>
      <c r="L89" s="161" t="str">
        <f t="shared" ref="L89:L96" ca="1" si="2">INDIRECT("F"&amp;MATCH("Orai Kaune",A:A,0)+ROW()-55)</f>
        <v>PR</v>
      </c>
      <c r="M89" s="163" t="e">
        <f ca="1">VLOOKUP(J89,Atitikmenys!A:C,2,0)</f>
        <v>#N/A</v>
      </c>
      <c r="N89" s="19" t="e">
        <f ca="1">VLOOKUP(J89,Atitikmenys!A:C,3,0)</f>
        <v>#N/A</v>
      </c>
      <c r="O89" s="130" t="str">
        <f ca="1">VLOOKUP(L89,Atitikmenys!A:B,2,0)</f>
        <v>Ý</v>
      </c>
      <c r="P89" s="132" t="e">
        <f>VLOOKUP(K89,Atitikmenys!A:C,2,0)</f>
        <v>#N/A</v>
      </c>
    </row>
    <row r="90" spans="1:16" x14ac:dyDescent="0.25">
      <c r="A90" s="128" t="s">
        <v>205</v>
      </c>
      <c r="B90" t="s">
        <v>47</v>
      </c>
      <c r="C90" t="s">
        <v>47</v>
      </c>
      <c r="D90">
        <f>2+36</f>
        <v>38</v>
      </c>
      <c r="E90">
        <v>769301025</v>
      </c>
      <c r="F90" t="s">
        <v>48</v>
      </c>
      <c r="G90">
        <v>68</v>
      </c>
      <c r="H90" t="s">
        <v>319</v>
      </c>
      <c r="J90" s="161" t="str">
        <f ca="1">INDIRECT("B"&amp;MATCH("Orai Kaune",A:A,0)+ROW()-56)</f>
        <v>Mažas debesuotumas</v>
      </c>
      <c r="K90" s="161">
        <f ca="1">INDIRECT("D"&amp;MATCH("Orai Kaune",A:A,0)+ROW()-56)</f>
        <v>38</v>
      </c>
      <c r="L90" s="161">
        <f t="shared" ca="1" si="2"/>
        <v>4914</v>
      </c>
      <c r="M90" s="163" t="str">
        <f ca="1">VLOOKUP(J90,Atitikmenys!A:C,2,0)</f>
        <v>Ö</v>
      </c>
      <c r="N90" s="19" t="str">
        <f ca="1">VLOOKUP(J90,Atitikmenys!A:C,3,0)</f>
        <v xml:space="preserve"> </v>
      </c>
      <c r="O90" s="131">
        <f ca="1">VLOOKUP(L90,Atitikmenys!C:D,2,0)</f>
        <v>4</v>
      </c>
      <c r="P90" s="132">
        <f ca="1">VLOOKUP(K90,Atitikmenys!A:C,2,0)</f>
        <v>2</v>
      </c>
    </row>
    <row r="91" spans="1:16" x14ac:dyDescent="0.25">
      <c r="A91" s="133"/>
      <c r="F91">
        <v>4914</v>
      </c>
      <c r="J91" s="161"/>
      <c r="K91" s="161"/>
      <c r="L91" s="161" t="str">
        <f t="shared" ca="1" si="2"/>
        <v>PR</v>
      </c>
      <c r="M91" s="163" t="e">
        <f>VLOOKUP(J91,Atitikmenys!A:C,2,0)</f>
        <v>#N/A</v>
      </c>
      <c r="N91" s="19" t="e">
        <f>VLOOKUP(J91,Atitikmenys!A:C,3,0)</f>
        <v>#N/A</v>
      </c>
      <c r="O91" s="130" t="str">
        <f ca="1">VLOOKUP(L91,Atitikmenys!A:B,2,0)</f>
        <v>Ý</v>
      </c>
      <c r="P91" s="132" t="e">
        <f>VLOOKUP(K91,Atitikmenys!A:C,2,0)</f>
        <v>#N/A</v>
      </c>
    </row>
    <row r="92" spans="1:16" x14ac:dyDescent="0.25">
      <c r="A92" s="128" t="s">
        <v>208</v>
      </c>
      <c r="B92" t="s">
        <v>20</v>
      </c>
      <c r="C92" t="s">
        <v>20</v>
      </c>
      <c r="D92">
        <f>2+36</f>
        <v>38</v>
      </c>
      <c r="E92">
        <v>767301023</v>
      </c>
      <c r="F92" t="s">
        <v>48</v>
      </c>
      <c r="G92">
        <v>69</v>
      </c>
      <c r="H92" t="s">
        <v>322</v>
      </c>
      <c r="J92" s="161" t="str">
        <f ca="1">INDIRECT("B"&amp;MATCH("Orai Kaune",A:A,0)+ROW()-56)</f>
        <v>Didelis debesuotumas</v>
      </c>
      <c r="K92" s="161">
        <f ca="1">INDIRECT("D"&amp;MATCH("Orai Kaune",A:A,0)+ROW()-56)</f>
        <v>38</v>
      </c>
      <c r="L92" s="161">
        <f t="shared" ca="1" si="2"/>
        <v>61322</v>
      </c>
      <c r="M92" s="163" t="str">
        <f ca="1">VLOOKUP(J92,Atitikmenys!A:C,2,0)</f>
        <v>ÙÙ</v>
      </c>
      <c r="N92" s="19" t="str">
        <f ca="1">VLOOKUP(J92,Atitikmenys!A:C,3,0)</f>
        <v xml:space="preserve"> </v>
      </c>
      <c r="O92" s="131">
        <f ca="1">VLOOKUP(L92,Atitikmenys!C:D,2,0)</f>
        <v>6</v>
      </c>
      <c r="P92" s="132">
        <f ca="1">VLOOKUP(K92,Atitikmenys!A:C,2,0)</f>
        <v>2</v>
      </c>
    </row>
    <row r="93" spans="1:16" x14ac:dyDescent="0.25">
      <c r="A93" s="133"/>
      <c r="F93">
        <v>61322</v>
      </c>
      <c r="J93" s="161"/>
      <c r="K93" s="161"/>
      <c r="L93" s="161" t="str">
        <f t="shared" ca="1" si="2"/>
        <v>P</v>
      </c>
      <c r="M93" s="163" t="e">
        <f>VLOOKUP(J93,Atitikmenys!A:C,2,0)</f>
        <v>#N/A</v>
      </c>
      <c r="N93" s="19" t="e">
        <f>VLOOKUP(J93,Atitikmenys!A:C,3,0)</f>
        <v>#N/A</v>
      </c>
      <c r="O93" s="130" t="str">
        <f ca="1">VLOOKUP(L93,Atitikmenys!A:B,2,0)</f>
        <v>Û</v>
      </c>
      <c r="P93" s="132" t="e">
        <f>VLOOKUP(K93,Atitikmenys!A:C,2,0)</f>
        <v>#N/A</v>
      </c>
    </row>
    <row r="94" spans="1:16" x14ac:dyDescent="0.25">
      <c r="A94" s="128" t="s">
        <v>206</v>
      </c>
      <c r="B94" t="s">
        <v>20</v>
      </c>
      <c r="C94" t="s">
        <v>20</v>
      </c>
      <c r="D94">
        <f>5+41</f>
        <v>46</v>
      </c>
      <c r="E94">
        <v>764301019</v>
      </c>
      <c r="F94" t="s">
        <v>44</v>
      </c>
      <c r="G94">
        <v>57</v>
      </c>
      <c r="H94">
        <f>2+36</f>
        <v>38</v>
      </c>
      <c r="J94" s="161" t="str">
        <f ca="1">INDIRECT("B"&amp;MATCH("Orai Kaune",A:A,0)+ROW()-56)</f>
        <v>Didelis debesuotumas</v>
      </c>
      <c r="K94" s="161">
        <f ca="1">INDIRECT("D"&amp;MATCH("Orai Kaune",A:A,0)+ROW()-56)</f>
        <v>46</v>
      </c>
      <c r="L94" s="161">
        <f t="shared" ca="1" si="2"/>
        <v>81829</v>
      </c>
      <c r="M94" s="163" t="str">
        <f ca="1">VLOOKUP(J94,Atitikmenys!A:C,2,0)</f>
        <v>ÙÙ</v>
      </c>
      <c r="N94" s="19" t="str">
        <f ca="1">VLOOKUP(J94,Atitikmenys!A:C,3,0)</f>
        <v xml:space="preserve"> </v>
      </c>
      <c r="O94" s="131">
        <f ca="1">VLOOKUP(L94,Atitikmenys!C:D,2,0)</f>
        <v>8</v>
      </c>
      <c r="P94" s="132">
        <f ca="1">VLOOKUP(K94,Atitikmenys!A:C,2,0)</f>
        <v>5</v>
      </c>
    </row>
    <row r="95" spans="1:16" x14ac:dyDescent="0.25">
      <c r="A95" s="133"/>
      <c r="F95">
        <v>81829</v>
      </c>
      <c r="J95" s="161"/>
      <c r="K95" s="161"/>
      <c r="L95" s="161" t="str">
        <f t="shared" ca="1" si="2"/>
        <v>PR</v>
      </c>
      <c r="M95" s="163" t="e">
        <f>VLOOKUP(J95,Atitikmenys!A:C,2,0)</f>
        <v>#N/A</v>
      </c>
      <c r="N95" s="19" t="e">
        <f>VLOOKUP(J95,Atitikmenys!A:C,3,0)</f>
        <v>#N/A</v>
      </c>
      <c r="O95" s="130" t="str">
        <f ca="1">VLOOKUP(L95,Atitikmenys!A:B,2,0)</f>
        <v>Ý</v>
      </c>
      <c r="P95" s="132" t="e">
        <f>VLOOKUP(K95,Atitikmenys!A:C,2,0)</f>
        <v>#N/A</v>
      </c>
    </row>
    <row r="96" spans="1:16" x14ac:dyDescent="0.25">
      <c r="A96" s="128" t="s">
        <v>209</v>
      </c>
      <c r="B96" t="s">
        <v>32</v>
      </c>
      <c r="C96" t="s">
        <v>32</v>
      </c>
      <c r="D96">
        <f>3+37</f>
        <v>40</v>
      </c>
      <c r="E96">
        <v>760301013</v>
      </c>
      <c r="F96" t="s">
        <v>48</v>
      </c>
      <c r="G96">
        <v>88</v>
      </c>
      <c r="H96" t="s">
        <v>319</v>
      </c>
      <c r="J96" s="161" t="str">
        <f ca="1">INDIRECT("B"&amp;MATCH("Orai Kaune",A:A,0)+ROW()-56)</f>
        <v>Didelis debesuotumas, lietus</v>
      </c>
      <c r="K96" s="161">
        <f ca="1">INDIRECT("D"&amp;MATCH("Orai Kaune",A:A,0)+ROW()-56)</f>
        <v>40</v>
      </c>
      <c r="L96" s="161">
        <f t="shared" ca="1" si="2"/>
        <v>61322</v>
      </c>
      <c r="M96" s="163" t="str">
        <f ca="1">VLOOKUP(J96,Atitikmenys!A:C,2,0)</f>
        <v>ÙÙ</v>
      </c>
      <c r="N96" s="19" t="str">
        <f ca="1">VLOOKUP(J96,Atitikmenys!A:C,3,0)</f>
        <v>SS</v>
      </c>
      <c r="O96" s="131">
        <f ca="1">VLOOKUP(L96,Atitikmenys!C:D,2,0)</f>
        <v>6</v>
      </c>
      <c r="P96" s="132">
        <f ca="1">VLOOKUP(K96,Atitikmenys!A:C,2,0)</f>
        <v>3</v>
      </c>
    </row>
    <row r="97" spans="1:16" x14ac:dyDescent="0.25">
      <c r="A97" s="133"/>
      <c r="F97">
        <v>61322</v>
      </c>
      <c r="J97" s="161"/>
      <c r="K97" s="161"/>
      <c r="L97" s="38"/>
      <c r="M97" s="163" t="e">
        <f>VLOOKUP(J97,Atitikmenys!A:C,2,0)</f>
        <v>#N/A</v>
      </c>
      <c r="N97" s="19" t="e">
        <f>VLOOKUP(J97,Atitikmenys!A:C,3,0)</f>
        <v>#N/A</v>
      </c>
      <c r="O97" s="130" t="e">
        <f>VLOOKUP(L97,Atitikmenys!A:B,2,0)</f>
        <v>#N/A</v>
      </c>
      <c r="P97" s="132" t="e">
        <f>VLOOKUP(K97,Atitikmenys!A:C,2,0)</f>
        <v>#N/A</v>
      </c>
    </row>
    <row r="98" spans="1:16" x14ac:dyDescent="0.25">
      <c r="A98" s="1" t="s">
        <v>205</v>
      </c>
      <c r="J98" s="47" t="s">
        <v>103</v>
      </c>
      <c r="K98" s="47" t="s">
        <v>105</v>
      </c>
      <c r="L98" s="47" t="s">
        <v>104</v>
      </c>
      <c r="M98" s="162" t="s">
        <v>110</v>
      </c>
      <c r="N98" s="162" t="s">
        <v>111</v>
      </c>
      <c r="O98" s="162" t="s">
        <v>104</v>
      </c>
      <c r="P98" s="162" t="s">
        <v>105</v>
      </c>
    </row>
    <row r="99" spans="1:16" x14ac:dyDescent="0.25">
      <c r="A99" s="1" t="s">
        <v>206</v>
      </c>
      <c r="J99" s="58"/>
      <c r="M99" s="163" t="e">
        <f>VLOOKUP(J99,Atitikmenys!A:C,2,0)</f>
        <v>#N/A</v>
      </c>
      <c r="N99" s="19" t="e">
        <f>VLOOKUP(J99,Atitikmenys!A:C,3,0)</f>
        <v>#N/A</v>
      </c>
      <c r="O99" s="131">
        <f>VLOOKUP(L99,Atitikmenys!C:D,2,0)</f>
        <v>0</v>
      </c>
      <c r="P99" s="132" t="e">
        <f>VLOOKUP(K99,Atitikmenys!A:C,2,0)</f>
        <v>#N/A</v>
      </c>
    </row>
    <row r="100" spans="1:16" x14ac:dyDescent="0.25">
      <c r="A100" s="1" t="s">
        <v>42</v>
      </c>
      <c r="B100" t="s">
        <v>32</v>
      </c>
      <c r="C100" t="s">
        <v>32</v>
      </c>
      <c r="D100">
        <f>5+41</f>
        <v>46</v>
      </c>
      <c r="E100" t="s">
        <v>38</v>
      </c>
      <c r="F100" t="s">
        <v>38</v>
      </c>
      <c r="G100">
        <f>11+52</f>
        <v>63</v>
      </c>
      <c r="J100" s="58" t="str">
        <f ca="1">INDIRECT("A"&amp;MATCH("Orai Kaune",A:A,0)+ROW()-56)</f>
        <v>Kt</v>
      </c>
      <c r="M100" s="163" t="e">
        <f ca="1">VLOOKUP(J100,Atitikmenys!A:C,2,0)</f>
        <v>#N/A</v>
      </c>
      <c r="N100" s="19" t="e">
        <f ca="1">VLOOKUP(J100,Atitikmenys!A:C,3,0)</f>
        <v>#N/A</v>
      </c>
      <c r="O100" s="130" t="e">
        <f>VLOOKUP(L100,Atitikmenys!A:B,2,0)</f>
        <v>#N/A</v>
      </c>
      <c r="P100" s="132" t="e">
        <f>VLOOKUP(K100,Atitikmenys!A:C,2,0)</f>
        <v>#N/A</v>
      </c>
    </row>
    <row r="101" spans="1:16" x14ac:dyDescent="0.25">
      <c r="A101" s="1" t="s">
        <v>320</v>
      </c>
      <c r="J101" s="58" t="str">
        <f ca="1">INDIRECT("A"&amp;MATCH("Orai Kaune",A:A,0)+ROW()-56)</f>
        <v>26.10</v>
      </c>
      <c r="M101" s="163" t="e">
        <f ca="1">VLOOKUP(J101,Atitikmenys!A:C,2,0)</f>
        <v>#N/A</v>
      </c>
      <c r="N101" s="19" t="e">
        <f ca="1">VLOOKUP(J101,Atitikmenys!A:C,3,0)</f>
        <v>#N/A</v>
      </c>
      <c r="O101" s="131">
        <f>VLOOKUP(L101,Atitikmenys!C:D,2,0)</f>
        <v>0</v>
      </c>
      <c r="P101" s="132" t="e">
        <f>VLOOKUP(K101,Atitikmenys!A:C,2,0)</f>
        <v>#N/A</v>
      </c>
    </row>
    <row r="102" spans="1:16" x14ac:dyDescent="0.25">
      <c r="A102" s="1" t="s">
        <v>321</v>
      </c>
      <c r="D102" t="s">
        <v>25</v>
      </c>
      <c r="E102" t="s">
        <v>26</v>
      </c>
      <c r="F102" t="s">
        <v>207</v>
      </c>
      <c r="G102" t="s">
        <v>27</v>
      </c>
      <c r="H102" t="s">
        <v>28</v>
      </c>
      <c r="J102" s="58" t="str">
        <f ca="1">INDIRECT("A"&amp;MATCH("Orai Kaune",A:A,0)+ROW()-56)</f>
        <v>Kt, 26 spalio</v>
      </c>
      <c r="L102" s="161" t="str">
        <f t="shared" ref="L102:L109" ca="1" si="3">INDIRECT("F"&amp;MATCH("Orai Kaune",A:A,0)+ROW()-55)</f>
        <v>P</v>
      </c>
      <c r="M102" s="163" t="e">
        <f ca="1">VLOOKUP(J102,Atitikmenys!A:C,2,0)</f>
        <v>#N/A</v>
      </c>
      <c r="N102" s="19" t="e">
        <f ca="1">VLOOKUP(J102,Atitikmenys!A:C,3,0)</f>
        <v>#N/A</v>
      </c>
      <c r="O102" s="130" t="str">
        <f ca="1">VLOOKUP(L102,Atitikmenys!A:B,2,0)</f>
        <v>Û</v>
      </c>
      <c r="P102" s="132" t="e">
        <f>VLOOKUP(K102,Atitikmenys!A:C,2,0)</f>
        <v>#N/A</v>
      </c>
    </row>
    <row r="103" spans="1:16" x14ac:dyDescent="0.25">
      <c r="A103" s="128" t="s">
        <v>205</v>
      </c>
      <c r="B103" t="s">
        <v>32</v>
      </c>
      <c r="C103" t="s">
        <v>32</v>
      </c>
      <c r="D103">
        <f>5+41</f>
        <v>46</v>
      </c>
      <c r="E103">
        <v>754301005</v>
      </c>
      <c r="F103" t="s">
        <v>44</v>
      </c>
      <c r="G103">
        <v>94</v>
      </c>
      <c r="H103">
        <f>2+36</f>
        <v>38</v>
      </c>
      <c r="J103" s="161" t="str">
        <f ca="1">INDIRECT("B"&amp;MATCH("Orai Kaune",A:A,0)+ROW()-56)</f>
        <v>Didelis debesuotumas, lietus</v>
      </c>
      <c r="K103" s="161">
        <f ca="1">INDIRECT("D"&amp;MATCH("Orai Kaune",A:A,0)+ROW()-56)</f>
        <v>46</v>
      </c>
      <c r="L103" s="161">
        <f t="shared" ca="1" si="3"/>
        <v>71625</v>
      </c>
      <c r="M103" s="163" t="str">
        <f ca="1">VLOOKUP(J103,Atitikmenys!A:C,2,0)</f>
        <v>ÙÙ</v>
      </c>
      <c r="N103" s="19" t="str">
        <f ca="1">VLOOKUP(J103,Atitikmenys!A:C,3,0)</f>
        <v>SS</v>
      </c>
      <c r="O103" s="131">
        <f ca="1">VLOOKUP(L103,Atitikmenys!C:D,2,0)</f>
        <v>7</v>
      </c>
      <c r="P103" s="132">
        <f ca="1">VLOOKUP(K103,Atitikmenys!A:C,2,0)</f>
        <v>5</v>
      </c>
    </row>
    <row r="104" spans="1:16" x14ac:dyDescent="0.25">
      <c r="A104" s="133"/>
      <c r="F104">
        <v>71625</v>
      </c>
      <c r="J104" s="161"/>
      <c r="K104" s="161"/>
      <c r="L104" s="161" t="str">
        <f t="shared" ca="1" si="3"/>
        <v>V</v>
      </c>
      <c r="M104" s="163" t="e">
        <f>VLOOKUP(J104,Atitikmenys!A:C,2,0)</f>
        <v>#N/A</v>
      </c>
      <c r="N104" s="19" t="e">
        <f>VLOOKUP(J104,Atitikmenys!A:C,3,0)</f>
        <v>#N/A</v>
      </c>
      <c r="O104" s="130" t="str">
        <f ca="1">VLOOKUP(L104,Atitikmenys!A:B,2,0)</f>
        <v>Ú</v>
      </c>
      <c r="P104" s="132" t="e">
        <f>VLOOKUP(K104,Atitikmenys!A:C,2,0)</f>
        <v>#N/A</v>
      </c>
    </row>
    <row r="105" spans="1:16" x14ac:dyDescent="0.25">
      <c r="A105" s="128" t="s">
        <v>208</v>
      </c>
      <c r="B105" t="s">
        <v>36</v>
      </c>
      <c r="C105" t="s">
        <v>36</v>
      </c>
      <c r="D105">
        <f>9+48</f>
        <v>57</v>
      </c>
      <c r="E105">
        <v>753301004</v>
      </c>
      <c r="F105" t="s">
        <v>45</v>
      </c>
      <c r="G105">
        <v>88</v>
      </c>
      <c r="H105">
        <f>8+46</f>
        <v>54</v>
      </c>
      <c r="J105" s="161" t="str">
        <f ca="1">INDIRECT("B"&amp;MATCH("Orai Kaune",A:A,0)+ROW()-56)</f>
        <v>Didelis debesuotumas, nedidelis lietus</v>
      </c>
      <c r="K105" s="161">
        <f ca="1">INDIRECT("D"&amp;MATCH("Orai Kaune",A:A,0)+ROW()-56)</f>
        <v>57</v>
      </c>
      <c r="L105" s="161">
        <f t="shared" ca="1" si="3"/>
        <v>61322</v>
      </c>
      <c r="M105" s="163" t="str">
        <f ca="1">VLOOKUP(J105,Atitikmenys!A:C,2,0)</f>
        <v>ÙÙ</v>
      </c>
      <c r="N105" s="19" t="str">
        <f ca="1">VLOOKUP(J105,Atitikmenys!A:C,3,0)</f>
        <v>S</v>
      </c>
      <c r="O105" s="131">
        <f ca="1">VLOOKUP(L105,Atitikmenys!C:D,2,0)</f>
        <v>6</v>
      </c>
      <c r="P105" s="132">
        <f ca="1">VLOOKUP(K105,Atitikmenys!A:C,2,0)</f>
        <v>9</v>
      </c>
    </row>
    <row r="106" spans="1:16" x14ac:dyDescent="0.25">
      <c r="A106" s="133"/>
      <c r="F106">
        <v>61322</v>
      </c>
      <c r="J106" s="161"/>
      <c r="K106" s="161"/>
      <c r="L106" s="161" t="str">
        <f t="shared" ca="1" si="3"/>
        <v>V</v>
      </c>
      <c r="M106" s="163" t="e">
        <f>VLOOKUP(J106,Atitikmenys!A:C,2,0)</f>
        <v>#N/A</v>
      </c>
      <c r="N106" s="19" t="e">
        <f>VLOOKUP(J106,Atitikmenys!A:C,3,0)</f>
        <v>#N/A</v>
      </c>
      <c r="O106" s="130" t="str">
        <f ca="1">VLOOKUP(L106,Atitikmenys!A:B,2,0)</f>
        <v>Ú</v>
      </c>
      <c r="P106" s="132" t="e">
        <f>VLOOKUP(K106,Atitikmenys!A:C,2,0)</f>
        <v>#N/A</v>
      </c>
    </row>
    <row r="107" spans="1:16" x14ac:dyDescent="0.25">
      <c r="A107" s="128" t="s">
        <v>206</v>
      </c>
      <c r="B107" t="s">
        <v>38</v>
      </c>
      <c r="C107" t="s">
        <v>38</v>
      </c>
      <c r="D107">
        <f>11+52</f>
        <v>63</v>
      </c>
      <c r="E107">
        <v>753301004</v>
      </c>
      <c r="F107" t="s">
        <v>45</v>
      </c>
      <c r="G107">
        <v>83</v>
      </c>
      <c r="H107">
        <f>9+48</f>
        <v>57</v>
      </c>
      <c r="J107" s="161" t="str">
        <f ca="1">INDIRECT("B"&amp;MATCH("Orai Kaune",A:A,0)+ROW()-56)</f>
        <v>Debesuota, nedidelis lietus</v>
      </c>
      <c r="K107" s="161">
        <f ca="1">INDIRECT("D"&amp;MATCH("Orai Kaune",A:A,0)+ROW()-56)</f>
        <v>63</v>
      </c>
      <c r="L107" s="161">
        <f t="shared" ca="1" si="3"/>
        <v>71625</v>
      </c>
      <c r="M107" s="163" t="str">
        <f ca="1">VLOOKUP(J107,Atitikmenys!A:C,2,0)</f>
        <v>Ù</v>
      </c>
      <c r="N107" s="19" t="str">
        <f ca="1">VLOOKUP(J107,Atitikmenys!A:C,3,0)</f>
        <v>S</v>
      </c>
      <c r="O107" s="131">
        <f ca="1">VLOOKUP(L107,Atitikmenys!C:D,2,0)</f>
        <v>7</v>
      </c>
      <c r="P107" s="132">
        <f ca="1">VLOOKUP(K107,Atitikmenys!A:C,2,0)</f>
        <v>11</v>
      </c>
    </row>
    <row r="108" spans="1:16" x14ac:dyDescent="0.25">
      <c r="A108" s="133"/>
      <c r="F108">
        <v>71625</v>
      </c>
      <c r="J108" s="161"/>
      <c r="K108" s="161"/>
      <c r="L108" s="161" t="str">
        <f t="shared" ca="1" si="3"/>
        <v>V</v>
      </c>
      <c r="M108" s="163" t="e">
        <f>VLOOKUP(J108,Atitikmenys!A:C,2,0)</f>
        <v>#N/A</v>
      </c>
      <c r="N108" s="19" t="e">
        <f>VLOOKUP(J108,Atitikmenys!A:C,3,0)</f>
        <v>#N/A</v>
      </c>
      <c r="O108" s="130" t="str">
        <f ca="1">VLOOKUP(L108,Atitikmenys!A:B,2,0)</f>
        <v>Ú</v>
      </c>
      <c r="P108" s="132" t="e">
        <f>VLOOKUP(K108,Atitikmenys!A:C,2,0)</f>
        <v>#N/A</v>
      </c>
    </row>
    <row r="109" spans="1:16" x14ac:dyDescent="0.25">
      <c r="A109" s="128" t="s">
        <v>209</v>
      </c>
      <c r="B109" t="s">
        <v>36</v>
      </c>
      <c r="C109" t="s">
        <v>36</v>
      </c>
      <c r="D109">
        <f>8+46</f>
        <v>54</v>
      </c>
      <c r="E109">
        <v>753301004</v>
      </c>
      <c r="F109" t="s">
        <v>45</v>
      </c>
      <c r="G109">
        <v>83</v>
      </c>
      <c r="H109">
        <f>6+43</f>
        <v>49</v>
      </c>
      <c r="J109" s="161" t="str">
        <f ca="1">INDIRECT("B"&amp;MATCH("Orai Kaune",A:A,0)+ROW()-56)</f>
        <v>Didelis debesuotumas, nedidelis lietus</v>
      </c>
      <c r="K109" s="161">
        <f ca="1">INDIRECT("D"&amp;MATCH("Orai Kaune",A:A,0)+ROW()-56)</f>
        <v>54</v>
      </c>
      <c r="L109" s="161">
        <f t="shared" ca="1" si="3"/>
        <v>61322</v>
      </c>
      <c r="M109" s="163" t="str">
        <f ca="1">VLOOKUP(J109,Atitikmenys!A:C,2,0)</f>
        <v>ÙÙ</v>
      </c>
      <c r="N109" s="19" t="str">
        <f ca="1">VLOOKUP(J109,Atitikmenys!A:C,3,0)</f>
        <v>S</v>
      </c>
      <c r="O109" s="131">
        <f ca="1">VLOOKUP(L109,Atitikmenys!C:D,2,0)</f>
        <v>6</v>
      </c>
      <c r="P109" s="132">
        <f ca="1">VLOOKUP(K109,Atitikmenys!A:C,2,0)</f>
        <v>8</v>
      </c>
    </row>
    <row r="110" spans="1:16" x14ac:dyDescent="0.25">
      <c r="A110" s="133"/>
      <c r="F110">
        <v>61322</v>
      </c>
      <c r="J110" s="161"/>
      <c r="K110" s="161"/>
      <c r="L110" s="38"/>
      <c r="M110" s="163" t="e">
        <f>VLOOKUP(J110,Atitikmenys!A:C,2,0)</f>
        <v>#N/A</v>
      </c>
      <c r="N110" s="19" t="e">
        <f>VLOOKUP(J110,Atitikmenys!A:C,3,0)</f>
        <v>#N/A</v>
      </c>
      <c r="O110" s="130" t="e">
        <f>VLOOKUP(L110,Atitikmenys!A:B,2,0)</f>
        <v>#N/A</v>
      </c>
      <c r="P110" s="132" t="e">
        <f>VLOOKUP(K110,Atitikmenys!A:C,2,0)</f>
        <v>#N/A</v>
      </c>
    </row>
    <row r="111" spans="1:16" x14ac:dyDescent="0.25">
      <c r="A111" s="1" t="s">
        <v>205</v>
      </c>
      <c r="J111" s="47" t="s">
        <v>103</v>
      </c>
      <c r="K111" s="47" t="s">
        <v>105</v>
      </c>
      <c r="L111" s="47" t="s">
        <v>104</v>
      </c>
      <c r="M111" s="162" t="s">
        <v>110</v>
      </c>
      <c r="N111" s="162" t="s">
        <v>111</v>
      </c>
      <c r="O111" s="162" t="s">
        <v>104</v>
      </c>
      <c r="P111" s="162" t="s">
        <v>105</v>
      </c>
    </row>
    <row r="112" spans="1:16" x14ac:dyDescent="0.25">
      <c r="A112" s="1" t="s">
        <v>206</v>
      </c>
      <c r="J112" s="58"/>
      <c r="M112" s="163" t="e">
        <f>VLOOKUP(J112,Atitikmenys!A:C,2,0)</f>
        <v>#N/A</v>
      </c>
      <c r="N112" s="19" t="e">
        <f>VLOOKUP(J112,Atitikmenys!A:C,3,0)</f>
        <v>#N/A</v>
      </c>
      <c r="O112" s="131">
        <f>VLOOKUP(L112,Atitikmenys!C:D,2,0)</f>
        <v>0</v>
      </c>
      <c r="P112" s="132" t="e">
        <f>VLOOKUP(K112,Atitikmenys!A:C,2,0)</f>
        <v>#N/A</v>
      </c>
    </row>
    <row r="113" spans="1:16" x14ac:dyDescent="0.25">
      <c r="A113" s="1" t="s">
        <v>46</v>
      </c>
      <c r="B113" t="s">
        <v>36</v>
      </c>
      <c r="C113" t="s">
        <v>36</v>
      </c>
      <c r="D113">
        <f>7+45</f>
        <v>52</v>
      </c>
      <c r="E113" t="s">
        <v>36</v>
      </c>
      <c r="F113" t="s">
        <v>36</v>
      </c>
      <c r="G113">
        <f>6+43</f>
        <v>49</v>
      </c>
      <c r="J113" s="58" t="str">
        <f ca="1">INDIRECT("A"&amp;MATCH("Orai Kaune",A:A,0)+ROW()-56)</f>
        <v>Pn</v>
      </c>
      <c r="M113" s="163" t="e">
        <f ca="1">VLOOKUP(J113,Atitikmenys!A:C,2,0)</f>
        <v>#N/A</v>
      </c>
      <c r="N113" s="19" t="e">
        <f ca="1">VLOOKUP(J113,Atitikmenys!A:C,3,0)</f>
        <v>#N/A</v>
      </c>
      <c r="O113" s="130" t="e">
        <f>VLOOKUP(L113,Atitikmenys!A:B,2,0)</f>
        <v>#N/A</v>
      </c>
      <c r="P113" s="132" t="e">
        <f>VLOOKUP(K113,Atitikmenys!A:C,2,0)</f>
        <v>#N/A</v>
      </c>
    </row>
    <row r="114" spans="1:16" x14ac:dyDescent="0.25">
      <c r="A114" s="1" t="s">
        <v>323</v>
      </c>
      <c r="J114" s="58" t="str">
        <f ca="1">INDIRECT("A"&amp;MATCH("Orai Kaune",A:A,0)+ROW()-56)</f>
        <v>27.10</v>
      </c>
      <c r="M114" s="163" t="e">
        <f ca="1">VLOOKUP(J114,Atitikmenys!A:C,2,0)</f>
        <v>#N/A</v>
      </c>
      <c r="N114" s="19" t="e">
        <f ca="1">VLOOKUP(J114,Atitikmenys!A:C,3,0)</f>
        <v>#N/A</v>
      </c>
      <c r="O114" s="131">
        <f>VLOOKUP(L114,Atitikmenys!C:D,2,0)</f>
        <v>0</v>
      </c>
      <c r="P114" s="132" t="e">
        <f>VLOOKUP(K114,Atitikmenys!A:C,2,0)</f>
        <v>#N/A</v>
      </c>
    </row>
    <row r="115" spans="1:16" x14ac:dyDescent="0.25">
      <c r="A115" s="1" t="s">
        <v>324</v>
      </c>
      <c r="D115" t="s">
        <v>25</v>
      </c>
      <c r="E115" t="s">
        <v>26</v>
      </c>
      <c r="F115" t="s">
        <v>207</v>
      </c>
      <c r="G115" t="s">
        <v>27</v>
      </c>
      <c r="H115" t="s">
        <v>28</v>
      </c>
      <c r="J115" s="58" t="str">
        <f ca="1">INDIRECT("A"&amp;MATCH("Orai Kaune",A:A,0)+ROW()-56)</f>
        <v>Pn, 27 spalio</v>
      </c>
      <c r="L115" s="161" t="str">
        <f t="shared" ref="L115:L122" ca="1" si="4">INDIRECT("F"&amp;MATCH("Orai Kaune",A:A,0)+ROW()-55)</f>
        <v>V</v>
      </c>
      <c r="M115" s="163" t="e">
        <f ca="1">VLOOKUP(J115,Atitikmenys!A:C,2,0)</f>
        <v>#N/A</v>
      </c>
      <c r="N115" s="19" t="e">
        <f ca="1">VLOOKUP(J115,Atitikmenys!A:C,3,0)</f>
        <v>#N/A</v>
      </c>
      <c r="O115" s="130" t="str">
        <f ca="1">VLOOKUP(L115,Atitikmenys!A:B,2,0)</f>
        <v>Ú</v>
      </c>
      <c r="P115" s="132" t="e">
        <f>VLOOKUP(K115,Atitikmenys!A:C,2,0)</f>
        <v>#N/A</v>
      </c>
    </row>
    <row r="116" spans="1:16" x14ac:dyDescent="0.25">
      <c r="A116" s="128" t="s">
        <v>205</v>
      </c>
      <c r="B116" t="s">
        <v>36</v>
      </c>
      <c r="C116" t="s">
        <v>36</v>
      </c>
      <c r="D116">
        <f>7+45</f>
        <v>52</v>
      </c>
      <c r="E116">
        <v>753301004</v>
      </c>
      <c r="F116" t="s">
        <v>45</v>
      </c>
      <c r="G116">
        <v>85</v>
      </c>
      <c r="H116">
        <f>5+41</f>
        <v>46</v>
      </c>
      <c r="J116" s="161" t="str">
        <f ca="1">INDIRECT("B"&amp;MATCH("Orai Kaune",A:A,0)+ROW()-56)</f>
        <v>Didelis debesuotumas, nedidelis lietus</v>
      </c>
      <c r="K116" s="161">
        <f ca="1">INDIRECT("D"&amp;MATCH("Orai Kaune",A:A,0)+ROW()-56)</f>
        <v>52</v>
      </c>
      <c r="L116" s="161">
        <f t="shared" ca="1" si="4"/>
        <v>51118</v>
      </c>
      <c r="M116" s="163" t="str">
        <f ca="1">VLOOKUP(J116,Atitikmenys!A:C,2,0)</f>
        <v>ÙÙ</v>
      </c>
      <c r="N116" s="19" t="str">
        <f ca="1">VLOOKUP(J116,Atitikmenys!A:C,3,0)</f>
        <v>S</v>
      </c>
      <c r="O116" s="131">
        <f ca="1">VLOOKUP(L116,Atitikmenys!C:D,2,0)</f>
        <v>5</v>
      </c>
      <c r="P116" s="132">
        <f ca="1">VLOOKUP(K116,Atitikmenys!A:C,2,0)</f>
        <v>7</v>
      </c>
    </row>
    <row r="117" spans="1:16" x14ac:dyDescent="0.25">
      <c r="A117" s="133"/>
      <c r="F117">
        <v>51118</v>
      </c>
      <c r="J117" s="161"/>
      <c r="K117" s="161"/>
      <c r="L117" s="161" t="str">
        <f t="shared" ca="1" si="4"/>
        <v>V</v>
      </c>
      <c r="M117" s="163" t="e">
        <f>VLOOKUP(J117,Atitikmenys!A:C,2,0)</f>
        <v>#N/A</v>
      </c>
      <c r="N117" s="19" t="e">
        <f>VLOOKUP(J117,Atitikmenys!A:C,3,0)</f>
        <v>#N/A</v>
      </c>
      <c r="O117" s="130" t="str">
        <f ca="1">VLOOKUP(L117,Atitikmenys!A:B,2,0)</f>
        <v>Ú</v>
      </c>
      <c r="P117" s="132" t="e">
        <f>VLOOKUP(K117,Atitikmenys!A:C,2,0)</f>
        <v>#N/A</v>
      </c>
    </row>
    <row r="118" spans="1:16" x14ac:dyDescent="0.25">
      <c r="A118" s="128" t="s">
        <v>208</v>
      </c>
      <c r="B118" t="s">
        <v>36</v>
      </c>
      <c r="C118" t="s">
        <v>36</v>
      </c>
      <c r="D118">
        <f>6+43</f>
        <v>49</v>
      </c>
      <c r="E118">
        <v>752301003</v>
      </c>
      <c r="F118" t="s">
        <v>45</v>
      </c>
      <c r="G118">
        <v>81</v>
      </c>
      <c r="H118">
        <f>5+41</f>
        <v>46</v>
      </c>
      <c r="J118" s="161" t="str">
        <f ca="1">INDIRECT("B"&amp;MATCH("Orai Kaune",A:A,0)+ROW()-56)</f>
        <v>Didelis debesuotumas, nedidelis lietus</v>
      </c>
      <c r="K118" s="161">
        <f ca="1">INDIRECT("D"&amp;MATCH("Orai Kaune",A:A,0)+ROW()-56)</f>
        <v>49</v>
      </c>
      <c r="L118" s="161">
        <f t="shared" ca="1" si="4"/>
        <v>4914</v>
      </c>
      <c r="M118" s="163" t="str">
        <f ca="1">VLOOKUP(J118,Atitikmenys!A:C,2,0)</f>
        <v>ÙÙ</v>
      </c>
      <c r="N118" s="19" t="str">
        <f ca="1">VLOOKUP(J118,Atitikmenys!A:C,3,0)</f>
        <v>S</v>
      </c>
      <c r="O118" s="131">
        <f ca="1">VLOOKUP(L118,Atitikmenys!C:D,2,0)</f>
        <v>4</v>
      </c>
      <c r="P118" s="132">
        <f ca="1">VLOOKUP(K118,Atitikmenys!A:C,2,0)</f>
        <v>6</v>
      </c>
    </row>
    <row r="119" spans="1:16" x14ac:dyDescent="0.25">
      <c r="A119" s="133"/>
      <c r="F119">
        <v>4914</v>
      </c>
      <c r="J119" s="161"/>
      <c r="K119" s="161"/>
      <c r="L119" s="161" t="str">
        <f t="shared" ca="1" si="4"/>
        <v>ŠV</v>
      </c>
      <c r="M119" s="163" t="e">
        <f>VLOOKUP(J119,Atitikmenys!A:C,2,0)</f>
        <v>#N/A</v>
      </c>
      <c r="N119" s="19" t="e">
        <f>VLOOKUP(J119,Atitikmenys!A:C,3,0)</f>
        <v>#N/A</v>
      </c>
      <c r="O119" s="130" t="str">
        <f ca="1">VLOOKUP(L119,Atitikmenys!A:B,2,0)</f>
        <v>à</v>
      </c>
      <c r="P119" s="132" t="e">
        <f>VLOOKUP(K119,Atitikmenys!A:C,2,0)</f>
        <v>#N/A</v>
      </c>
    </row>
    <row r="120" spans="1:16" x14ac:dyDescent="0.25">
      <c r="A120" s="128" t="s">
        <v>206</v>
      </c>
      <c r="B120" t="s">
        <v>36</v>
      </c>
      <c r="C120" t="s">
        <v>36</v>
      </c>
      <c r="D120">
        <f>6+43</f>
        <v>49</v>
      </c>
      <c r="E120">
        <v>752301003</v>
      </c>
      <c r="F120" t="s">
        <v>30</v>
      </c>
      <c r="G120">
        <v>80</v>
      </c>
      <c r="H120">
        <f>5+41</f>
        <v>46</v>
      </c>
      <c r="J120" s="161" t="str">
        <f ca="1">INDIRECT("B"&amp;MATCH("Orai Kaune",A:A,0)+ROW()-56)</f>
        <v>Didelis debesuotumas, nedidelis lietus</v>
      </c>
      <c r="K120" s="161">
        <f ca="1">INDIRECT("D"&amp;MATCH("Orai Kaune",A:A,0)+ROW()-56)</f>
        <v>49</v>
      </c>
      <c r="L120" s="161">
        <f t="shared" ca="1" si="4"/>
        <v>3711</v>
      </c>
      <c r="M120" s="163" t="str">
        <f ca="1">VLOOKUP(J120,Atitikmenys!A:C,2,0)</f>
        <v>ÙÙ</v>
      </c>
      <c r="N120" s="19" t="str">
        <f ca="1">VLOOKUP(J120,Atitikmenys!A:C,3,0)</f>
        <v>S</v>
      </c>
      <c r="O120" s="131">
        <f ca="1">VLOOKUP(L120,Atitikmenys!C:D,2,0)</f>
        <v>3</v>
      </c>
      <c r="P120" s="132">
        <f ca="1">VLOOKUP(K120,Atitikmenys!A:C,2,0)</f>
        <v>6</v>
      </c>
    </row>
    <row r="121" spans="1:16" x14ac:dyDescent="0.25">
      <c r="A121" s="133"/>
      <c r="F121">
        <v>3711</v>
      </c>
      <c r="J121" s="161"/>
      <c r="K121" s="161"/>
      <c r="L121" s="161" t="str">
        <f t="shared" ca="1" si="4"/>
        <v>ŠR</v>
      </c>
      <c r="M121" s="163" t="e">
        <f>VLOOKUP(J121,Atitikmenys!A:C,2,0)</f>
        <v>#N/A</v>
      </c>
      <c r="N121" s="19" t="e">
        <f>VLOOKUP(J121,Atitikmenys!A:C,3,0)</f>
        <v>#N/A</v>
      </c>
      <c r="O121" s="130" t="str">
        <f ca="1">VLOOKUP(L121,Atitikmenys!A:B,2,0)</f>
        <v>ß</v>
      </c>
      <c r="P121" s="132" t="e">
        <f>VLOOKUP(K121,Atitikmenys!A:C,2,0)</f>
        <v>#N/A</v>
      </c>
    </row>
    <row r="122" spans="1:16" x14ac:dyDescent="0.25">
      <c r="A122" s="128" t="s">
        <v>209</v>
      </c>
      <c r="B122" t="s">
        <v>36</v>
      </c>
      <c r="C122" t="s">
        <v>36</v>
      </c>
      <c r="D122">
        <f>4+39</f>
        <v>43</v>
      </c>
      <c r="E122">
        <v>752301003</v>
      </c>
      <c r="F122" t="s">
        <v>33</v>
      </c>
      <c r="G122">
        <v>87</v>
      </c>
      <c r="H122">
        <f>4+39</f>
        <v>43</v>
      </c>
      <c r="J122" s="161" t="str">
        <f ca="1">INDIRECT("B"&amp;MATCH("Orai Kaune",A:A,0)+ROW()-56)</f>
        <v>Didelis debesuotumas, nedidelis lietus</v>
      </c>
      <c r="K122" s="161">
        <f ca="1">INDIRECT("D"&amp;MATCH("Orai Kaune",A:A,0)+ROW()-56)</f>
        <v>43</v>
      </c>
      <c r="L122" s="161">
        <f t="shared" ca="1" si="4"/>
        <v>124</v>
      </c>
      <c r="M122" s="163" t="str">
        <f ca="1">VLOOKUP(J122,Atitikmenys!A:C,2,0)</f>
        <v>ÙÙ</v>
      </c>
      <c r="N122" s="19" t="str">
        <f ca="1">VLOOKUP(J122,Atitikmenys!A:C,3,0)</f>
        <v>S</v>
      </c>
      <c r="O122" s="131">
        <f ca="1">VLOOKUP(L122,Atitikmenys!C:D,2,0)</f>
        <v>1</v>
      </c>
      <c r="P122" s="132">
        <f ca="1">VLOOKUP(K122,Atitikmenys!A:C,2,0)</f>
        <v>4</v>
      </c>
    </row>
    <row r="123" spans="1:16" x14ac:dyDescent="0.25">
      <c r="A123" s="133"/>
      <c r="F123">
        <v>124</v>
      </c>
      <c r="J123" s="161"/>
      <c r="K123" s="161"/>
      <c r="L123" s="38"/>
      <c r="M123" s="163" t="e">
        <f>VLOOKUP(J123,Atitikmenys!A:C,2,0)</f>
        <v>#N/A</v>
      </c>
      <c r="N123" s="19" t="e">
        <f>VLOOKUP(J123,Atitikmenys!A:C,3,0)</f>
        <v>#N/A</v>
      </c>
      <c r="O123" s="130" t="e">
        <f>VLOOKUP(L123,Atitikmenys!A:B,2,0)</f>
        <v>#N/A</v>
      </c>
      <c r="P123" s="132" t="e">
        <f>VLOOKUP(K123,Atitikmenys!A:C,2,0)</f>
        <v>#N/A</v>
      </c>
    </row>
    <row r="124" spans="1:16" x14ac:dyDescent="0.25">
      <c r="A124" s="1" t="s">
        <v>205</v>
      </c>
      <c r="J124" s="47" t="s">
        <v>103</v>
      </c>
      <c r="K124" s="47" t="s">
        <v>105</v>
      </c>
      <c r="L124" s="47" t="s">
        <v>104</v>
      </c>
      <c r="M124" s="162" t="s">
        <v>110</v>
      </c>
      <c r="N124" s="162" t="s">
        <v>111</v>
      </c>
      <c r="O124" s="162" t="s">
        <v>104</v>
      </c>
      <c r="P124" s="162" t="s">
        <v>105</v>
      </c>
    </row>
    <row r="125" spans="1:16" x14ac:dyDescent="0.25">
      <c r="A125" s="1" t="s">
        <v>206</v>
      </c>
      <c r="J125" s="58"/>
      <c r="M125" s="163" t="e">
        <f>VLOOKUP(J125,Atitikmenys!A:C,2,0)</f>
        <v>#N/A</v>
      </c>
      <c r="N125" s="19" t="e">
        <f>VLOOKUP(J125,Atitikmenys!A:C,3,0)</f>
        <v>#N/A</v>
      </c>
      <c r="O125" s="131">
        <f>VLOOKUP(L125,Atitikmenys!C:D,2,0)</f>
        <v>0</v>
      </c>
      <c r="P125" s="132" t="e">
        <f>VLOOKUP(K125,Atitikmenys!A:C,2,0)</f>
        <v>#N/A</v>
      </c>
    </row>
    <row r="126" spans="1:16" x14ac:dyDescent="0.25">
      <c r="A126" s="1" t="s">
        <v>23</v>
      </c>
      <c r="B126" t="s">
        <v>36</v>
      </c>
      <c r="C126" t="s">
        <v>36</v>
      </c>
      <c r="D126">
        <f>3+37</f>
        <v>40</v>
      </c>
      <c r="E126" t="s">
        <v>20</v>
      </c>
      <c r="F126" t="s">
        <v>20</v>
      </c>
      <c r="G126">
        <f>6+43</f>
        <v>49</v>
      </c>
      <c r="J126" s="58" t="str">
        <f ca="1">INDIRECT("A"&amp;MATCH("Orai Kaune",A:A,0)+ROW()-56)</f>
        <v>Št</v>
      </c>
      <c r="M126" s="163" t="str">
        <f ca="1">VLOOKUP(J126,Atitikmenys!A:C,2,0)</f>
        <v>­</v>
      </c>
      <c r="N126" s="19" t="str">
        <f ca="1">VLOOKUP(J126,Atitikmenys!A:C,3,0)</f>
        <v>štilis</v>
      </c>
      <c r="O126" s="130" t="e">
        <f>VLOOKUP(L126,Atitikmenys!A:B,2,0)</f>
        <v>#N/A</v>
      </c>
      <c r="P126" s="132" t="e">
        <f>VLOOKUP(K126,Atitikmenys!A:C,2,0)</f>
        <v>#N/A</v>
      </c>
    </row>
    <row r="127" spans="1:16" x14ac:dyDescent="0.25">
      <c r="A127" s="1" t="s">
        <v>325</v>
      </c>
      <c r="J127" s="58" t="str">
        <f ca="1">INDIRECT("A"&amp;MATCH("Orai Kaune",A:A,0)+ROW()-56)</f>
        <v>28.10</v>
      </c>
      <c r="M127" s="163" t="e">
        <f ca="1">VLOOKUP(J127,Atitikmenys!A:C,2,0)</f>
        <v>#N/A</v>
      </c>
      <c r="N127" s="19" t="e">
        <f ca="1">VLOOKUP(J127,Atitikmenys!A:C,3,0)</f>
        <v>#N/A</v>
      </c>
      <c r="O127" s="131">
        <f>VLOOKUP(L127,Atitikmenys!C:D,2,0)</f>
        <v>0</v>
      </c>
      <c r="P127" s="132" t="e">
        <f>VLOOKUP(K127,Atitikmenys!A:C,2,0)</f>
        <v>#N/A</v>
      </c>
    </row>
    <row r="128" spans="1:16" x14ac:dyDescent="0.25">
      <c r="A128" s="1" t="s">
        <v>326</v>
      </c>
      <c r="D128" t="s">
        <v>25</v>
      </c>
      <c r="E128" t="s">
        <v>26</v>
      </c>
      <c r="F128" t="s">
        <v>207</v>
      </c>
      <c r="G128" t="s">
        <v>27</v>
      </c>
      <c r="H128" t="s">
        <v>28</v>
      </c>
      <c r="J128" s="58" t="str">
        <f ca="1">INDIRECT("A"&amp;MATCH("Orai Kaune",A:A,0)+ROW()-56)</f>
        <v>Št, 28 spalio</v>
      </c>
      <c r="L128" s="161" t="str">
        <f t="shared" ref="L128:L135" ca="1" si="5">INDIRECT("F"&amp;MATCH("Orai Kaune",A:A,0)+ROW()-55)</f>
        <v>Š</v>
      </c>
      <c r="M128" s="163" t="e">
        <f ca="1">VLOOKUP(J128,Atitikmenys!A:C,2,0)</f>
        <v>#N/A</v>
      </c>
      <c r="N128" s="19" t="e">
        <f ca="1">VLOOKUP(J128,Atitikmenys!A:C,3,0)</f>
        <v>#N/A</v>
      </c>
      <c r="O128" s="130" t="str">
        <f ca="1">VLOOKUP(L128,Atitikmenys!A:B,2,0)</f>
        <v>Ü</v>
      </c>
      <c r="P128" s="132" t="e">
        <f>VLOOKUP(K128,Atitikmenys!A:C,2,0)</f>
        <v>#N/A</v>
      </c>
    </row>
    <row r="129" spans="1:16" x14ac:dyDescent="0.25">
      <c r="A129" s="128" t="s">
        <v>205</v>
      </c>
      <c r="B129" t="s">
        <v>36</v>
      </c>
      <c r="C129" t="s">
        <v>36</v>
      </c>
      <c r="D129">
        <f>3+37</f>
        <v>40</v>
      </c>
      <c r="E129">
        <v>751301001</v>
      </c>
      <c r="F129" t="s">
        <v>35</v>
      </c>
      <c r="G129">
        <v>94</v>
      </c>
      <c r="H129">
        <f>3+37</f>
        <v>40</v>
      </c>
      <c r="J129" s="161" t="str">
        <f ca="1">INDIRECT("B"&amp;MATCH("Orai Kaune",A:A,0)+ROW()-56)</f>
        <v>Didelis debesuotumas, nedidelis lietus</v>
      </c>
      <c r="K129" s="161">
        <f ca="1">INDIRECT("D"&amp;MATCH("Orai Kaune",A:A,0)+ROW()-56)</f>
        <v>40</v>
      </c>
      <c r="L129" s="161">
        <f t="shared" ca="1" si="5"/>
        <v>124</v>
      </c>
      <c r="M129" s="163" t="str">
        <f ca="1">VLOOKUP(J129,Atitikmenys!A:C,2,0)</f>
        <v>ÙÙ</v>
      </c>
      <c r="N129" s="19" t="str">
        <f ca="1">VLOOKUP(J129,Atitikmenys!A:C,3,0)</f>
        <v>S</v>
      </c>
      <c r="O129" s="131">
        <f ca="1">VLOOKUP(L129,Atitikmenys!C:D,2,0)</f>
        <v>1</v>
      </c>
      <c r="P129" s="132">
        <f ca="1">VLOOKUP(K129,Atitikmenys!A:C,2,0)</f>
        <v>3</v>
      </c>
    </row>
    <row r="130" spans="1:16" x14ac:dyDescent="0.25">
      <c r="A130" s="133"/>
      <c r="F130">
        <v>124</v>
      </c>
      <c r="J130" s="161"/>
      <c r="K130" s="161"/>
      <c r="L130" s="161" t="str">
        <f t="shared" ca="1" si="5"/>
        <v>R</v>
      </c>
      <c r="M130" s="163" t="e">
        <f>VLOOKUP(J130,Atitikmenys!A:C,2,0)</f>
        <v>#N/A</v>
      </c>
      <c r="N130" s="19" t="e">
        <f>VLOOKUP(J130,Atitikmenys!A:C,3,0)</f>
        <v>#N/A</v>
      </c>
      <c r="O130" s="130" t="str">
        <f ca="1">VLOOKUP(L130,Atitikmenys!A:B,2,0)</f>
        <v>Ù</v>
      </c>
      <c r="P130" s="132" t="e">
        <f>VLOOKUP(K130,Atitikmenys!A:C,2,0)</f>
        <v>#N/A</v>
      </c>
    </row>
    <row r="131" spans="1:16" x14ac:dyDescent="0.25">
      <c r="A131" s="128" t="s">
        <v>208</v>
      </c>
      <c r="B131" t="s">
        <v>36</v>
      </c>
      <c r="C131" t="s">
        <v>36</v>
      </c>
      <c r="D131">
        <f>3+37</f>
        <v>40</v>
      </c>
      <c r="E131">
        <v>750301000</v>
      </c>
      <c r="F131" t="s">
        <v>49</v>
      </c>
      <c r="G131">
        <v>94</v>
      </c>
      <c r="H131">
        <f>3+37</f>
        <v>40</v>
      </c>
      <c r="J131" s="161" t="str">
        <f ca="1">INDIRECT("B"&amp;MATCH("Orai Kaune",A:A,0)+ROW()-56)</f>
        <v>Didelis debesuotumas, nedidelis lietus</v>
      </c>
      <c r="K131" s="161">
        <f ca="1">INDIRECT("D"&amp;MATCH("Orai Kaune",A:A,0)+ROW()-56)</f>
        <v>40</v>
      </c>
      <c r="L131" s="161">
        <f t="shared" ca="1" si="5"/>
        <v>124</v>
      </c>
      <c r="M131" s="163" t="str">
        <f ca="1">VLOOKUP(J131,Atitikmenys!A:C,2,0)</f>
        <v>ÙÙ</v>
      </c>
      <c r="N131" s="19" t="str">
        <f ca="1">VLOOKUP(J131,Atitikmenys!A:C,3,0)</f>
        <v>S</v>
      </c>
      <c r="O131" s="131">
        <f ca="1">VLOOKUP(L131,Atitikmenys!C:D,2,0)</f>
        <v>1</v>
      </c>
      <c r="P131" s="132">
        <f ca="1">VLOOKUP(K131,Atitikmenys!A:C,2,0)</f>
        <v>3</v>
      </c>
    </row>
    <row r="132" spans="1:16" x14ac:dyDescent="0.25">
      <c r="A132" s="133"/>
      <c r="F132">
        <v>124</v>
      </c>
      <c r="J132" s="161"/>
      <c r="K132" s="161"/>
      <c r="L132" s="161" t="str">
        <f t="shared" ca="1" si="5"/>
        <v>P</v>
      </c>
      <c r="M132" s="163" t="e">
        <f>VLOOKUP(J132,Atitikmenys!A:C,2,0)</f>
        <v>#N/A</v>
      </c>
      <c r="N132" s="19" t="e">
        <f>VLOOKUP(J132,Atitikmenys!A:C,3,0)</f>
        <v>#N/A</v>
      </c>
      <c r="O132" s="130" t="str">
        <f ca="1">VLOOKUP(L132,Atitikmenys!A:B,2,0)</f>
        <v>Û</v>
      </c>
      <c r="P132" s="132" t="e">
        <f>VLOOKUP(K132,Atitikmenys!A:C,2,0)</f>
        <v>#N/A</v>
      </c>
    </row>
    <row r="133" spans="1:16" x14ac:dyDescent="0.25">
      <c r="A133" s="128" t="s">
        <v>206</v>
      </c>
      <c r="B133" t="s">
        <v>20</v>
      </c>
      <c r="C133" t="s">
        <v>20</v>
      </c>
      <c r="D133">
        <f>6+43</f>
        <v>49</v>
      </c>
      <c r="E133">
        <v>74929999</v>
      </c>
      <c r="F133" t="s">
        <v>44</v>
      </c>
      <c r="G133">
        <v>74</v>
      </c>
      <c r="H133">
        <f>5+41</f>
        <v>46</v>
      </c>
      <c r="J133" s="161" t="str">
        <f ca="1">INDIRECT("B"&amp;MATCH("Orai Kaune",A:A,0)+ROW()-56)</f>
        <v>Didelis debesuotumas</v>
      </c>
      <c r="K133" s="161">
        <f ca="1">INDIRECT("D"&amp;MATCH("Orai Kaune",A:A,0)+ROW()-56)</f>
        <v>49</v>
      </c>
      <c r="L133" s="161">
        <f t="shared" ca="1" si="5"/>
        <v>247</v>
      </c>
      <c r="M133" s="163" t="str">
        <f ca="1">VLOOKUP(J133,Atitikmenys!A:C,2,0)</f>
        <v>ÙÙ</v>
      </c>
      <c r="N133" s="19" t="str">
        <f ca="1">VLOOKUP(J133,Atitikmenys!A:C,3,0)</f>
        <v xml:space="preserve"> </v>
      </c>
      <c r="O133" s="131">
        <f ca="1">VLOOKUP(L133,Atitikmenys!C:D,2,0)</f>
        <v>2</v>
      </c>
      <c r="P133" s="132">
        <f ca="1">VLOOKUP(K133,Atitikmenys!A:C,2,0)</f>
        <v>6</v>
      </c>
    </row>
    <row r="134" spans="1:16" x14ac:dyDescent="0.25">
      <c r="A134" s="133"/>
      <c r="F134">
        <v>247</v>
      </c>
      <c r="J134" s="161"/>
      <c r="K134" s="161"/>
      <c r="L134" s="161" t="str">
        <f t="shared" ca="1" si="5"/>
        <v>PR</v>
      </c>
      <c r="M134" s="163" t="e">
        <f>VLOOKUP(J134,Atitikmenys!A:C,2,0)</f>
        <v>#N/A</v>
      </c>
      <c r="N134" s="19" t="e">
        <f>VLOOKUP(J134,Atitikmenys!A:C,3,0)</f>
        <v>#N/A</v>
      </c>
      <c r="O134" s="130" t="str">
        <f ca="1">VLOOKUP(L134,Atitikmenys!A:B,2,0)</f>
        <v>Ý</v>
      </c>
      <c r="P134" s="132" t="e">
        <f>VLOOKUP(K134,Atitikmenys!A:C,2,0)</f>
        <v>#N/A</v>
      </c>
    </row>
    <row r="135" spans="1:16" x14ac:dyDescent="0.25">
      <c r="A135" s="128" t="s">
        <v>209</v>
      </c>
      <c r="B135" t="s">
        <v>36</v>
      </c>
      <c r="C135" t="s">
        <v>36</v>
      </c>
      <c r="D135">
        <f>4+39</f>
        <v>43</v>
      </c>
      <c r="E135">
        <v>74729996</v>
      </c>
      <c r="F135" t="s">
        <v>48</v>
      </c>
      <c r="G135">
        <v>93</v>
      </c>
      <c r="H135">
        <f>3+37</f>
        <v>40</v>
      </c>
      <c r="J135" s="161" t="str">
        <f ca="1">INDIRECT("B"&amp;MATCH("Orai Kaune",A:A,0)+ROW()-56)</f>
        <v>Didelis debesuotumas, nedidelis lietus</v>
      </c>
      <c r="K135" s="161">
        <f ca="1">INDIRECT("D"&amp;MATCH("Orai Kaune",A:A,0)+ROW()-56)</f>
        <v>43</v>
      </c>
      <c r="L135" s="161">
        <f t="shared" ca="1" si="5"/>
        <v>4914</v>
      </c>
      <c r="M135" s="163" t="str">
        <f ca="1">VLOOKUP(J135,Atitikmenys!A:C,2,0)</f>
        <v>ÙÙ</v>
      </c>
      <c r="N135" s="19" t="str">
        <f ca="1">VLOOKUP(J135,Atitikmenys!A:C,3,0)</f>
        <v>S</v>
      </c>
      <c r="O135" s="131">
        <f ca="1">VLOOKUP(L135,Atitikmenys!C:D,2,0)</f>
        <v>4</v>
      </c>
      <c r="P135" s="132">
        <f ca="1">VLOOKUP(K135,Atitikmenys!A:C,2,0)</f>
        <v>4</v>
      </c>
    </row>
    <row r="136" spans="1:16" x14ac:dyDescent="0.25">
      <c r="A136" s="133"/>
      <c r="F136">
        <v>4914</v>
      </c>
      <c r="J136" s="161"/>
      <c r="K136" s="161"/>
      <c r="L136" s="38"/>
      <c r="M136" s="163" t="e">
        <f>VLOOKUP(J136,Atitikmenys!A:C,2,0)</f>
        <v>#N/A</v>
      </c>
      <c r="N136" s="19" t="e">
        <f>VLOOKUP(J136,Atitikmenys!A:C,3,0)</f>
        <v>#N/A</v>
      </c>
      <c r="O136" s="130" t="e">
        <f>VLOOKUP(L136,Atitikmenys!A:B,2,0)</f>
        <v>#N/A</v>
      </c>
      <c r="P136" s="132" t="e">
        <f>VLOOKUP(K136,Atitikmenys!A:C,2,0)</f>
        <v>#N/A</v>
      </c>
    </row>
    <row r="137" spans="1:16" x14ac:dyDescent="0.25">
      <c r="A137" s="1" t="s">
        <v>205</v>
      </c>
      <c r="J137" s="47" t="s">
        <v>103</v>
      </c>
      <c r="K137" s="47" t="s">
        <v>105</v>
      </c>
      <c r="L137" s="47" t="s">
        <v>104</v>
      </c>
      <c r="M137" s="162" t="s">
        <v>110</v>
      </c>
      <c r="N137" s="162" t="s">
        <v>111</v>
      </c>
      <c r="O137" s="162" t="s">
        <v>104</v>
      </c>
      <c r="P137" s="162" t="s">
        <v>105</v>
      </c>
    </row>
    <row r="138" spans="1:16" x14ac:dyDescent="0.25">
      <c r="A138" s="1" t="s">
        <v>206</v>
      </c>
      <c r="J138" s="58"/>
      <c r="M138" s="163" t="e">
        <f>VLOOKUP(J138,Atitikmenys!A:C,2,0)</f>
        <v>#N/A</v>
      </c>
      <c r="N138" s="19" t="e">
        <f>VLOOKUP(J138,Atitikmenys!A:C,3,0)</f>
        <v>#N/A</v>
      </c>
      <c r="O138" s="131">
        <f>VLOOKUP(L138,Atitikmenys!C:D,2,0)</f>
        <v>0</v>
      </c>
      <c r="P138" s="132" t="e">
        <f>VLOOKUP(K138,Atitikmenys!A:C,2,0)</f>
        <v>#N/A</v>
      </c>
    </row>
    <row r="139" spans="1:16" x14ac:dyDescent="0.25">
      <c r="A139" s="1" t="s">
        <v>31</v>
      </c>
      <c r="B139" t="s">
        <v>36</v>
      </c>
      <c r="C139" t="s">
        <v>36</v>
      </c>
      <c r="D139">
        <f>4+39</f>
        <v>43</v>
      </c>
      <c r="E139" t="s">
        <v>20</v>
      </c>
      <c r="F139" t="s">
        <v>20</v>
      </c>
      <c r="G139">
        <f>5+41</f>
        <v>46</v>
      </c>
      <c r="J139" s="58" t="str">
        <f ca="1">INDIRECT("A"&amp;MATCH("Orai Kaune",A:A,0)+ROW()-56)</f>
        <v>Sk</v>
      </c>
      <c r="M139" s="163" t="e">
        <f ca="1">VLOOKUP(J139,Atitikmenys!A:C,2,0)</f>
        <v>#N/A</v>
      </c>
      <c r="N139" s="19" t="e">
        <f ca="1">VLOOKUP(J139,Atitikmenys!A:C,3,0)</f>
        <v>#N/A</v>
      </c>
      <c r="O139" s="130" t="e">
        <f>VLOOKUP(L139,Atitikmenys!A:B,2,0)</f>
        <v>#N/A</v>
      </c>
      <c r="P139" s="132" t="e">
        <f>VLOOKUP(K139,Atitikmenys!A:C,2,0)</f>
        <v>#N/A</v>
      </c>
    </row>
    <row r="140" spans="1:16" x14ac:dyDescent="0.25">
      <c r="A140" s="1" t="s">
        <v>327</v>
      </c>
      <c r="J140" s="58" t="str">
        <f ca="1">INDIRECT("A"&amp;MATCH("Orai Kaune",A:A,0)+ROW()-56)</f>
        <v>29.10</v>
      </c>
      <c r="M140" s="163" t="e">
        <f ca="1">VLOOKUP(J140,Atitikmenys!A:C,2,0)</f>
        <v>#N/A</v>
      </c>
      <c r="N140" s="19" t="e">
        <f ca="1">VLOOKUP(J140,Atitikmenys!A:C,3,0)</f>
        <v>#N/A</v>
      </c>
      <c r="O140" s="131">
        <f>VLOOKUP(L140,Atitikmenys!C:D,2,0)</f>
        <v>0</v>
      </c>
      <c r="P140" s="132" t="e">
        <f>VLOOKUP(K140,Atitikmenys!A:C,2,0)</f>
        <v>#N/A</v>
      </c>
    </row>
    <row r="141" spans="1:16" x14ac:dyDescent="0.25">
      <c r="A141" s="1" t="s">
        <v>328</v>
      </c>
      <c r="D141" t="s">
        <v>25</v>
      </c>
      <c r="E141" t="s">
        <v>26</v>
      </c>
      <c r="F141" t="s">
        <v>207</v>
      </c>
      <c r="G141" t="s">
        <v>27</v>
      </c>
      <c r="H141" t="s">
        <v>28</v>
      </c>
      <c r="J141" s="58" t="str">
        <f ca="1">INDIRECT("A"&amp;MATCH("Orai Kaune",A:A,0)+ROW()-56)</f>
        <v>Sk, 29 spalio</v>
      </c>
      <c r="L141" s="161" t="str">
        <f t="shared" ref="L141:L148" ca="1" si="6">INDIRECT("F"&amp;MATCH("Orai Kaune",A:A,0)+ROW()-55)</f>
        <v>PR</v>
      </c>
      <c r="M141" s="163" t="e">
        <f ca="1">VLOOKUP(J141,Atitikmenys!A:C,2,0)</f>
        <v>#N/A</v>
      </c>
      <c r="N141" s="19" t="e">
        <f ca="1">VLOOKUP(J141,Atitikmenys!A:C,3,0)</f>
        <v>#N/A</v>
      </c>
      <c r="O141" s="130" t="str">
        <f ca="1">VLOOKUP(L141,Atitikmenys!A:B,2,0)</f>
        <v>Ý</v>
      </c>
      <c r="P141" s="132" t="e">
        <f>VLOOKUP(K141,Atitikmenys!A:C,2,0)</f>
        <v>#N/A</v>
      </c>
    </row>
    <row r="142" spans="1:16" x14ac:dyDescent="0.25">
      <c r="A142" s="128" t="s">
        <v>205</v>
      </c>
      <c r="B142" t="s">
        <v>36</v>
      </c>
      <c r="C142" t="s">
        <v>36</v>
      </c>
      <c r="D142">
        <f>4+39</f>
        <v>43</v>
      </c>
      <c r="E142">
        <v>74629995</v>
      </c>
      <c r="F142" t="s">
        <v>48</v>
      </c>
      <c r="G142">
        <v>94</v>
      </c>
      <c r="H142">
        <f>2+36</f>
        <v>38</v>
      </c>
      <c r="J142" s="161" t="str">
        <f ca="1">INDIRECT("B"&amp;MATCH("Orai Kaune",A:A,0)+ROW()-56)</f>
        <v>Didelis debesuotumas, nedidelis lietus</v>
      </c>
      <c r="K142" s="161">
        <f ca="1">INDIRECT("D"&amp;MATCH("Orai Kaune",A:A,0)+ROW()-56)</f>
        <v>43</v>
      </c>
      <c r="L142" s="161">
        <f t="shared" ca="1" si="6"/>
        <v>4914</v>
      </c>
      <c r="M142" s="163" t="str">
        <f ca="1">VLOOKUP(J142,Atitikmenys!A:C,2,0)</f>
        <v>ÙÙ</v>
      </c>
      <c r="N142" s="19" t="str">
        <f ca="1">VLOOKUP(J142,Atitikmenys!A:C,3,0)</f>
        <v>S</v>
      </c>
      <c r="O142" s="131">
        <f ca="1">VLOOKUP(L142,Atitikmenys!C:D,2,0)</f>
        <v>4</v>
      </c>
      <c r="P142" s="132">
        <f ca="1">VLOOKUP(K142,Atitikmenys!A:C,2,0)</f>
        <v>4</v>
      </c>
    </row>
    <row r="143" spans="1:16" x14ac:dyDescent="0.25">
      <c r="A143" s="133"/>
      <c r="F143">
        <v>4914</v>
      </c>
      <c r="J143" s="161"/>
      <c r="K143" s="161"/>
      <c r="L143" s="161" t="str">
        <f t="shared" ca="1" si="6"/>
        <v>R</v>
      </c>
      <c r="M143" s="163" t="e">
        <f>VLOOKUP(J143,Atitikmenys!A:C,2,0)</f>
        <v>#N/A</v>
      </c>
      <c r="N143" s="19" t="e">
        <f>VLOOKUP(J143,Atitikmenys!A:C,3,0)</f>
        <v>#N/A</v>
      </c>
      <c r="O143" s="130" t="str">
        <f ca="1">VLOOKUP(L143,Atitikmenys!A:B,2,0)</f>
        <v>Ù</v>
      </c>
      <c r="P143" s="132" t="e">
        <f>VLOOKUP(K143,Atitikmenys!A:C,2,0)</f>
        <v>#N/A</v>
      </c>
    </row>
    <row r="144" spans="1:16" x14ac:dyDescent="0.25">
      <c r="A144" s="128" t="s">
        <v>208</v>
      </c>
      <c r="B144" t="s">
        <v>20</v>
      </c>
      <c r="C144" t="s">
        <v>20</v>
      </c>
      <c r="D144">
        <f>3+37</f>
        <v>40</v>
      </c>
      <c r="E144">
        <v>74929999</v>
      </c>
      <c r="F144" t="s">
        <v>49</v>
      </c>
      <c r="G144">
        <v>92</v>
      </c>
      <c r="H144">
        <f>2+36</f>
        <v>38</v>
      </c>
      <c r="J144" s="161" t="str">
        <f ca="1">INDIRECT("B"&amp;MATCH("Orai Kaune",A:A,0)+ROW()-56)</f>
        <v>Didelis debesuotumas</v>
      </c>
      <c r="K144" s="161">
        <f ca="1">INDIRECT("D"&amp;MATCH("Orai Kaune",A:A,0)+ROW()-56)</f>
        <v>40</v>
      </c>
      <c r="L144" s="161">
        <f t="shared" ca="1" si="6"/>
        <v>4914</v>
      </c>
      <c r="M144" s="163" t="str">
        <f ca="1">VLOOKUP(J144,Atitikmenys!A:C,2,0)</f>
        <v>ÙÙ</v>
      </c>
      <c r="N144" s="19" t="str">
        <f ca="1">VLOOKUP(J144,Atitikmenys!A:C,3,0)</f>
        <v xml:space="preserve"> </v>
      </c>
      <c r="O144" s="131">
        <f ca="1">VLOOKUP(L144,Atitikmenys!C:D,2,0)</f>
        <v>4</v>
      </c>
      <c r="P144" s="132">
        <f ca="1">VLOOKUP(K144,Atitikmenys!A:C,2,0)</f>
        <v>3</v>
      </c>
    </row>
    <row r="145" spans="1:16" x14ac:dyDescent="0.25">
      <c r="A145" s="133"/>
      <c r="F145">
        <v>4914</v>
      </c>
      <c r="J145" s="161"/>
      <c r="K145" s="161"/>
      <c r="L145" s="161" t="str">
        <f t="shared" ca="1" si="6"/>
        <v>R</v>
      </c>
      <c r="M145" s="163" t="e">
        <f>VLOOKUP(J145,Atitikmenys!A:C,2,0)</f>
        <v>#N/A</v>
      </c>
      <c r="N145" s="19" t="e">
        <f>VLOOKUP(J145,Atitikmenys!A:C,3,0)</f>
        <v>#N/A</v>
      </c>
      <c r="O145" s="130" t="str">
        <f ca="1">VLOOKUP(L145,Atitikmenys!A:B,2,0)</f>
        <v>Ù</v>
      </c>
      <c r="P145" s="132" t="e">
        <f>VLOOKUP(K145,Atitikmenys!A:C,2,0)</f>
        <v>#N/A</v>
      </c>
    </row>
    <row r="146" spans="1:16" x14ac:dyDescent="0.25">
      <c r="A146" s="128" t="s">
        <v>206</v>
      </c>
      <c r="B146" t="s">
        <v>20</v>
      </c>
      <c r="C146" t="s">
        <v>20</v>
      </c>
      <c r="D146">
        <f>5+41</f>
        <v>46</v>
      </c>
      <c r="E146">
        <v>752301003</v>
      </c>
      <c r="F146" t="s">
        <v>49</v>
      </c>
      <c r="G146">
        <v>81</v>
      </c>
      <c r="H146">
        <f>3+37</f>
        <v>40</v>
      </c>
      <c r="J146" s="161" t="str">
        <f ca="1">INDIRECT("B"&amp;MATCH("Orai Kaune",A:A,0)+ROW()-56)</f>
        <v>Didelis debesuotumas</v>
      </c>
      <c r="K146" s="161">
        <f ca="1">INDIRECT("D"&amp;MATCH("Orai Kaune",A:A,0)+ROW()-56)</f>
        <v>46</v>
      </c>
      <c r="L146" s="161">
        <f t="shared" ca="1" si="6"/>
        <v>4914</v>
      </c>
      <c r="M146" s="163" t="str">
        <f ca="1">VLOOKUP(J146,Atitikmenys!A:C,2,0)</f>
        <v>ÙÙ</v>
      </c>
      <c r="N146" s="19" t="str">
        <f ca="1">VLOOKUP(J146,Atitikmenys!A:C,3,0)</f>
        <v xml:space="preserve"> </v>
      </c>
      <c r="O146" s="131">
        <f ca="1">VLOOKUP(L146,Atitikmenys!C:D,2,0)</f>
        <v>4</v>
      </c>
      <c r="P146" s="132">
        <f ca="1">VLOOKUP(K146,Atitikmenys!A:C,2,0)</f>
        <v>5</v>
      </c>
    </row>
    <row r="147" spans="1:16" x14ac:dyDescent="0.25">
      <c r="A147" s="133"/>
      <c r="F147">
        <v>4914</v>
      </c>
      <c r="J147" s="161"/>
      <c r="K147" s="161"/>
      <c r="L147" s="161" t="str">
        <f t="shared" ca="1" si="6"/>
        <v>R</v>
      </c>
      <c r="M147" s="163" t="e">
        <f>VLOOKUP(J147,Atitikmenys!A:C,2,0)</f>
        <v>#N/A</v>
      </c>
      <c r="N147" s="19" t="e">
        <f>VLOOKUP(J147,Atitikmenys!A:C,3,0)</f>
        <v>#N/A</v>
      </c>
      <c r="O147" s="130" t="str">
        <f ca="1">VLOOKUP(L147,Atitikmenys!A:B,2,0)</f>
        <v>Ù</v>
      </c>
      <c r="P147" s="132" t="e">
        <f>VLOOKUP(K147,Atitikmenys!A:C,2,0)</f>
        <v>#N/A</v>
      </c>
    </row>
    <row r="148" spans="1:16" x14ac:dyDescent="0.25">
      <c r="A148" s="128" t="s">
        <v>209</v>
      </c>
      <c r="B148" t="s">
        <v>20</v>
      </c>
      <c r="C148" t="s">
        <v>20</v>
      </c>
      <c r="D148">
        <f>3+37</f>
        <v>40</v>
      </c>
      <c r="E148">
        <v>756301008</v>
      </c>
      <c r="F148" t="s">
        <v>49</v>
      </c>
      <c r="G148">
        <v>78</v>
      </c>
      <c r="H148">
        <f>1+34</f>
        <v>35</v>
      </c>
      <c r="J148" s="161" t="str">
        <f ca="1">INDIRECT("B"&amp;MATCH("Orai Kaune",A:A,0)+ROW()-56)</f>
        <v>Didelis debesuotumas</v>
      </c>
      <c r="K148" s="161">
        <f ca="1">INDIRECT("D"&amp;MATCH("Orai Kaune",A:A,0)+ROW()-56)</f>
        <v>40</v>
      </c>
      <c r="L148" s="161">
        <f t="shared" ca="1" si="6"/>
        <v>4914</v>
      </c>
      <c r="M148" s="163" t="str">
        <f ca="1">VLOOKUP(J148,Atitikmenys!A:C,2,0)</f>
        <v>ÙÙ</v>
      </c>
      <c r="N148" s="19" t="str">
        <f ca="1">VLOOKUP(J148,Atitikmenys!A:C,3,0)</f>
        <v xml:space="preserve"> </v>
      </c>
      <c r="O148" s="131">
        <f ca="1">VLOOKUP(L148,Atitikmenys!C:D,2,0)</f>
        <v>4</v>
      </c>
      <c r="P148" s="132">
        <f ca="1">VLOOKUP(K148,Atitikmenys!A:C,2,0)</f>
        <v>3</v>
      </c>
    </row>
    <row r="149" spans="1:16" x14ac:dyDescent="0.25">
      <c r="A149" s="133"/>
      <c r="F149">
        <v>4914</v>
      </c>
      <c r="J149" s="161"/>
      <c r="K149" s="161"/>
      <c r="L149" s="38"/>
      <c r="M149" s="163" t="e">
        <f>VLOOKUP(J149,Atitikmenys!A:C,2,0)</f>
        <v>#N/A</v>
      </c>
      <c r="N149" s="19" t="e">
        <f>VLOOKUP(J149,Atitikmenys!A:C,3,0)</f>
        <v>#N/A</v>
      </c>
      <c r="O149" s="130" t="e">
        <f>VLOOKUP(L149,Atitikmenys!A:B,2,0)</f>
        <v>#N/A</v>
      </c>
      <c r="P149" s="132" t="e">
        <f>VLOOKUP(K149,Atitikmenys!A:C,2,0)</f>
        <v>#N/A</v>
      </c>
    </row>
    <row r="150" spans="1:16" x14ac:dyDescent="0.25">
      <c r="A150" s="1" t="s">
        <v>205</v>
      </c>
      <c r="J150" s="47" t="s">
        <v>103</v>
      </c>
      <c r="K150" s="47" t="s">
        <v>105</v>
      </c>
      <c r="L150" s="47" t="s">
        <v>104</v>
      </c>
      <c r="M150" s="162" t="s">
        <v>110</v>
      </c>
      <c r="N150" s="162" t="s">
        <v>111</v>
      </c>
      <c r="O150" s="162" t="s">
        <v>104</v>
      </c>
      <c r="P150" s="162" t="s">
        <v>105</v>
      </c>
    </row>
    <row r="151" spans="1:16" x14ac:dyDescent="0.25">
      <c r="A151" s="1" t="s">
        <v>206</v>
      </c>
      <c r="J151" s="58"/>
      <c r="M151" s="163" t="e">
        <f>VLOOKUP(J151,Atitikmenys!A:C,2,0)</f>
        <v>#N/A</v>
      </c>
      <c r="N151" s="19" t="e">
        <f>VLOOKUP(J151,Atitikmenys!A:C,3,0)</f>
        <v>#N/A</v>
      </c>
      <c r="O151" s="131">
        <f>VLOOKUP(L151,Atitikmenys!C:D,2,0)</f>
        <v>0</v>
      </c>
      <c r="P151" s="132" t="e">
        <f>VLOOKUP(K151,Atitikmenys!A:C,2,0)</f>
        <v>#N/A</v>
      </c>
    </row>
    <row r="152" spans="1:16" x14ac:dyDescent="0.25">
      <c r="A152" s="1" t="s">
        <v>34</v>
      </c>
      <c r="B152" t="s">
        <v>20</v>
      </c>
      <c r="C152" t="s">
        <v>20</v>
      </c>
      <c r="D152">
        <f>2+36</f>
        <v>38</v>
      </c>
      <c r="E152" t="s">
        <v>20</v>
      </c>
      <c r="F152" t="s">
        <v>20</v>
      </c>
      <c r="G152">
        <f>3+37</f>
        <v>40</v>
      </c>
      <c r="J152" s="58" t="str">
        <f ca="1">INDIRECT("A"&amp;MATCH("Orai Kaune",A:A,0)+ROW()-56)</f>
        <v>Pr</v>
      </c>
      <c r="M152" s="163" t="str">
        <f ca="1">VLOOKUP(J152,Atitikmenys!A:C,2,0)</f>
        <v>Ý</v>
      </c>
      <c r="N152" s="19" t="str">
        <f ca="1">VLOOKUP(J152,Atitikmenys!A:C,3,0)</f>
        <v>pietryčių</v>
      </c>
      <c r="O152" s="130" t="e">
        <f>VLOOKUP(L152,Atitikmenys!A:B,2,0)</f>
        <v>#N/A</v>
      </c>
      <c r="P152" s="132" t="e">
        <f>VLOOKUP(K152,Atitikmenys!A:C,2,0)</f>
        <v>#N/A</v>
      </c>
    </row>
    <row r="153" spans="1:16" x14ac:dyDescent="0.25">
      <c r="A153" s="1" t="s">
        <v>372</v>
      </c>
      <c r="J153" s="58" t="str">
        <f ca="1">INDIRECT("A"&amp;MATCH("Orai Kaune",A:A,0)+ROW()-56)</f>
        <v>30.10</v>
      </c>
      <c r="M153" s="163" t="e">
        <f ca="1">VLOOKUP(J153,Atitikmenys!A:C,2,0)</f>
        <v>#N/A</v>
      </c>
      <c r="N153" s="19" t="e">
        <f ca="1">VLOOKUP(J153,Atitikmenys!A:C,3,0)</f>
        <v>#N/A</v>
      </c>
      <c r="O153" s="131">
        <f>VLOOKUP(L153,Atitikmenys!C:D,2,0)</f>
        <v>0</v>
      </c>
      <c r="P153" s="132" t="e">
        <f>VLOOKUP(K153,Atitikmenys!A:C,2,0)</f>
        <v>#N/A</v>
      </c>
    </row>
    <row r="154" spans="1:16" x14ac:dyDescent="0.25">
      <c r="A154" s="1" t="s">
        <v>373</v>
      </c>
      <c r="D154" t="s">
        <v>25</v>
      </c>
      <c r="E154" t="s">
        <v>26</v>
      </c>
      <c r="F154" t="s">
        <v>207</v>
      </c>
      <c r="G154" t="s">
        <v>27</v>
      </c>
      <c r="H154" t="s">
        <v>28</v>
      </c>
      <c r="J154" s="58" t="str">
        <f ca="1">INDIRECT("A"&amp;MATCH("Orai Kaune",A:A,0)+ROW()-56)</f>
        <v>Pr, 30 spalio</v>
      </c>
      <c r="L154" s="161" t="str">
        <f t="shared" ref="L154:L161" ca="1" si="7">INDIRECT("F"&amp;MATCH("Orai Kaune",A:A,0)+ROW()-55)</f>
        <v>R</v>
      </c>
      <c r="M154" s="163" t="e">
        <f ca="1">VLOOKUP(J154,Atitikmenys!A:C,2,0)</f>
        <v>#N/A</v>
      </c>
      <c r="N154" s="19" t="e">
        <f ca="1">VLOOKUP(J154,Atitikmenys!A:C,3,0)</f>
        <v>#N/A</v>
      </c>
      <c r="O154" s="130" t="str">
        <f ca="1">VLOOKUP(L154,Atitikmenys!A:B,2,0)</f>
        <v>Ù</v>
      </c>
      <c r="P154" s="132" t="e">
        <f>VLOOKUP(K154,Atitikmenys!A:C,2,0)</f>
        <v>#N/A</v>
      </c>
    </row>
    <row r="155" spans="1:16" x14ac:dyDescent="0.25">
      <c r="A155" s="128" t="s">
        <v>205</v>
      </c>
      <c r="B155" t="s">
        <v>20</v>
      </c>
      <c r="C155" t="s">
        <v>20</v>
      </c>
      <c r="D155">
        <f>2+36</f>
        <v>38</v>
      </c>
      <c r="E155">
        <v>758301011</v>
      </c>
      <c r="F155" t="s">
        <v>49</v>
      </c>
      <c r="G155">
        <v>78</v>
      </c>
      <c r="H155" t="s">
        <v>319</v>
      </c>
      <c r="J155" s="161" t="str">
        <f ca="1">INDIRECT("B"&amp;MATCH("Orai Kaune",A:A,0)+ROW()-56)</f>
        <v>Didelis debesuotumas</v>
      </c>
      <c r="K155" s="161">
        <f ca="1">INDIRECT("D"&amp;MATCH("Orai Kaune",A:A,0)+ROW()-56)</f>
        <v>38</v>
      </c>
      <c r="L155" s="161">
        <f t="shared" ca="1" si="7"/>
        <v>3711</v>
      </c>
      <c r="M155" s="163" t="str">
        <f ca="1">VLOOKUP(J155,Atitikmenys!A:C,2,0)</f>
        <v>ÙÙ</v>
      </c>
      <c r="N155" s="19" t="str">
        <f ca="1">VLOOKUP(J155,Atitikmenys!A:C,3,0)</f>
        <v xml:space="preserve"> </v>
      </c>
      <c r="O155" s="131">
        <f ca="1">VLOOKUP(L155,Atitikmenys!C:D,2,0)</f>
        <v>3</v>
      </c>
      <c r="P155" s="132">
        <f ca="1">VLOOKUP(K155,Atitikmenys!A:C,2,0)</f>
        <v>2</v>
      </c>
    </row>
    <row r="156" spans="1:16" x14ac:dyDescent="0.25">
      <c r="A156" s="133"/>
      <c r="F156">
        <v>3711</v>
      </c>
      <c r="J156" s="161"/>
      <c r="K156" s="161"/>
      <c r="L156" s="161" t="str">
        <f t="shared" ca="1" si="7"/>
        <v>R</v>
      </c>
      <c r="M156" s="163" t="e">
        <f>VLOOKUP(J156,Atitikmenys!A:C,2,0)</f>
        <v>#N/A</v>
      </c>
      <c r="N156" s="19" t="e">
        <f>VLOOKUP(J156,Atitikmenys!A:C,3,0)</f>
        <v>#N/A</v>
      </c>
      <c r="O156" s="130" t="str">
        <f ca="1">VLOOKUP(L156,Atitikmenys!A:B,2,0)</f>
        <v>Ù</v>
      </c>
      <c r="P156" s="132" t="e">
        <f>VLOOKUP(K156,Atitikmenys!A:C,2,0)</f>
        <v>#N/A</v>
      </c>
    </row>
    <row r="157" spans="1:16" x14ac:dyDescent="0.25">
      <c r="A157" s="128" t="s">
        <v>208</v>
      </c>
      <c r="B157" t="s">
        <v>20</v>
      </c>
      <c r="C157" t="s">
        <v>20</v>
      </c>
      <c r="D157">
        <f>1+34</f>
        <v>35</v>
      </c>
      <c r="E157">
        <v>761301015</v>
      </c>
      <c r="F157" t="s">
        <v>49</v>
      </c>
      <c r="G157">
        <v>78</v>
      </c>
      <c r="H157">
        <f>1+34</f>
        <v>35</v>
      </c>
      <c r="J157" s="161" t="str">
        <f ca="1">INDIRECT("B"&amp;MATCH("Orai Kaune",A:A,0)+ROW()-56)</f>
        <v>Didelis debesuotumas</v>
      </c>
      <c r="K157" s="161">
        <f ca="1">INDIRECT("D"&amp;MATCH("Orai Kaune",A:A,0)+ROW()-56)</f>
        <v>35</v>
      </c>
      <c r="L157" s="161">
        <f t="shared" ca="1" si="7"/>
        <v>247</v>
      </c>
      <c r="M157" s="163" t="str">
        <f ca="1">VLOOKUP(J157,Atitikmenys!A:C,2,0)</f>
        <v>ÙÙ</v>
      </c>
      <c r="N157" s="19" t="str">
        <f ca="1">VLOOKUP(J157,Atitikmenys!A:C,3,0)</f>
        <v xml:space="preserve"> </v>
      </c>
      <c r="O157" s="131">
        <f ca="1">VLOOKUP(L157,Atitikmenys!C:D,2,0)</f>
        <v>2</v>
      </c>
      <c r="P157" s="132">
        <f ca="1">VLOOKUP(K157,Atitikmenys!A:C,2,0)</f>
        <v>1</v>
      </c>
    </row>
    <row r="158" spans="1:16" x14ac:dyDescent="0.25">
      <c r="A158" s="133"/>
      <c r="F158">
        <v>247</v>
      </c>
      <c r="J158" s="161"/>
      <c r="K158" s="161"/>
      <c r="L158" s="161" t="str">
        <f t="shared" ca="1" si="7"/>
        <v>št</v>
      </c>
      <c r="M158" s="163" t="e">
        <f>VLOOKUP(J158,Atitikmenys!A:C,2,0)</f>
        <v>#N/A</v>
      </c>
      <c r="N158" s="19" t="e">
        <f>VLOOKUP(J158,Atitikmenys!A:C,3,0)</f>
        <v>#N/A</v>
      </c>
      <c r="O158" s="130" t="str">
        <f ca="1">VLOOKUP(L158,Atitikmenys!A:B,2,0)</f>
        <v>­</v>
      </c>
      <c r="P158" s="132" t="e">
        <f>VLOOKUP(K158,Atitikmenys!A:C,2,0)</f>
        <v>#N/A</v>
      </c>
    </row>
    <row r="159" spans="1:16" x14ac:dyDescent="0.25">
      <c r="A159" s="128" t="s">
        <v>206</v>
      </c>
      <c r="B159" t="s">
        <v>20</v>
      </c>
      <c r="C159" t="s">
        <v>20</v>
      </c>
      <c r="D159">
        <f>3+37</f>
        <v>40</v>
      </c>
      <c r="E159">
        <v>761301015</v>
      </c>
      <c r="F159" t="s">
        <v>123</v>
      </c>
      <c r="G159">
        <v>76</v>
      </c>
      <c r="H159">
        <f>3+37</f>
        <v>40</v>
      </c>
      <c r="J159" s="161" t="str">
        <f ca="1">INDIRECT("B"&amp;MATCH("Orai Kaune",A:A,0)+ROW()-56)</f>
        <v>Didelis debesuotumas</v>
      </c>
      <c r="K159" s="161">
        <f ca="1">INDIRECT("D"&amp;MATCH("Orai Kaune",A:A,0)+ROW()-56)</f>
        <v>40</v>
      </c>
      <c r="L159" s="161" t="str">
        <f t="shared" ca="1" si="7"/>
        <v>0−−</v>
      </c>
      <c r="M159" s="163" t="str">
        <f ca="1">VLOOKUP(J159,Atitikmenys!A:C,2,0)</f>
        <v>ÙÙ</v>
      </c>
      <c r="N159" s="19" t="str">
        <f ca="1">VLOOKUP(J159,Atitikmenys!A:C,3,0)</f>
        <v xml:space="preserve"> </v>
      </c>
      <c r="O159" s="131" t="str">
        <f ca="1">VLOOKUP(L159,Atitikmenys!C:D,2,0)</f>
        <v>štilis</v>
      </c>
      <c r="P159" s="132">
        <f ca="1">VLOOKUP(K159,Atitikmenys!A:C,2,0)</f>
        <v>3</v>
      </c>
    </row>
    <row r="160" spans="1:16" x14ac:dyDescent="0.25">
      <c r="A160" s="133"/>
      <c r="F160" t="s">
        <v>287</v>
      </c>
      <c r="J160" s="161"/>
      <c r="K160" s="161"/>
      <c r="L160" s="161" t="str">
        <f t="shared" ca="1" si="7"/>
        <v>ŠV</v>
      </c>
      <c r="M160" s="163" t="e">
        <f>VLOOKUP(J160,Atitikmenys!A:C,2,0)</f>
        <v>#N/A</v>
      </c>
      <c r="N160" s="19" t="e">
        <f>VLOOKUP(J160,Atitikmenys!A:C,3,0)</f>
        <v>#N/A</v>
      </c>
      <c r="O160" s="130" t="str">
        <f ca="1">VLOOKUP(L160,Atitikmenys!A:B,2,0)</f>
        <v>à</v>
      </c>
      <c r="P160" s="132" t="e">
        <f>VLOOKUP(K160,Atitikmenys!A:C,2,0)</f>
        <v>#N/A</v>
      </c>
    </row>
    <row r="161" spans="1:16" x14ac:dyDescent="0.25">
      <c r="A161" s="128" t="s">
        <v>209</v>
      </c>
      <c r="B161" t="s">
        <v>20</v>
      </c>
      <c r="C161" t="s">
        <v>20</v>
      </c>
      <c r="D161">
        <f>3+37</f>
        <v>40</v>
      </c>
      <c r="E161">
        <v>762301016</v>
      </c>
      <c r="F161" t="s">
        <v>30</v>
      </c>
      <c r="G161">
        <v>84</v>
      </c>
      <c r="H161">
        <f>3+37</f>
        <v>40</v>
      </c>
      <c r="J161" s="161" t="str">
        <f ca="1">INDIRECT("B"&amp;MATCH("Orai Kaune",A:A,0)+ROW()-56)</f>
        <v>Didelis debesuotumas</v>
      </c>
      <c r="K161" s="161">
        <f ca="1">INDIRECT("D"&amp;MATCH("Orai Kaune",A:A,0)+ROW()-56)</f>
        <v>40</v>
      </c>
      <c r="L161" s="161">
        <f t="shared" ca="1" si="7"/>
        <v>124</v>
      </c>
      <c r="M161" s="163" t="str">
        <f ca="1">VLOOKUP(J161,Atitikmenys!A:C,2,0)</f>
        <v>ÙÙ</v>
      </c>
      <c r="N161" s="19" t="str">
        <f ca="1">VLOOKUP(J161,Atitikmenys!A:C,3,0)</f>
        <v xml:space="preserve"> </v>
      </c>
      <c r="O161" s="131">
        <f ca="1">VLOOKUP(L161,Atitikmenys!C:D,2,0)</f>
        <v>1</v>
      </c>
      <c r="P161" s="132">
        <f ca="1">VLOOKUP(K161,Atitikmenys!A:C,2,0)</f>
        <v>3</v>
      </c>
    </row>
    <row r="162" spans="1:16" x14ac:dyDescent="0.25">
      <c r="A162" s="133"/>
      <c r="F162">
        <v>124</v>
      </c>
      <c r="J162" s="161"/>
      <c r="K162" s="161"/>
      <c r="L162" s="38"/>
      <c r="M162" s="163" t="e">
        <f>VLOOKUP(J162,Atitikmenys!A:C,2,0)</f>
        <v>#N/A</v>
      </c>
      <c r="N162" s="19" t="e">
        <f>VLOOKUP(J162,Atitikmenys!A:C,3,0)</f>
        <v>#N/A</v>
      </c>
      <c r="O162" s="130" t="e">
        <f>VLOOKUP(L162,Atitikmenys!A:B,2,0)</f>
        <v>#N/A</v>
      </c>
      <c r="P162" s="132" t="e">
        <f>VLOOKUP(K162,Atitikmenys!A:C,2,0)</f>
        <v>#N/A</v>
      </c>
    </row>
    <row r="163" spans="1:16" x14ac:dyDescent="0.25">
      <c r="A163" s="1" t="s">
        <v>205</v>
      </c>
      <c r="J163" s="47" t="s">
        <v>103</v>
      </c>
      <c r="K163" s="47" t="s">
        <v>105</v>
      </c>
      <c r="L163" s="47" t="s">
        <v>104</v>
      </c>
      <c r="M163" s="162" t="s">
        <v>110</v>
      </c>
      <c r="N163" s="162" t="s">
        <v>111</v>
      </c>
      <c r="O163" s="162" t="s">
        <v>104</v>
      </c>
      <c r="P163" s="162" t="s">
        <v>105</v>
      </c>
    </row>
    <row r="164" spans="1:16" x14ac:dyDescent="0.25">
      <c r="A164" s="1" t="s">
        <v>206</v>
      </c>
      <c r="J164" s="58"/>
      <c r="M164" s="163" t="e">
        <f>VLOOKUP(J164,Atitikmenys!A:C,2,0)</f>
        <v>#N/A</v>
      </c>
      <c r="N164" s="19" t="e">
        <f>VLOOKUP(J164,Atitikmenys!A:C,3,0)</f>
        <v>#N/A</v>
      </c>
      <c r="O164" s="131">
        <f>VLOOKUP(L164,Atitikmenys!C:D,2,0)</f>
        <v>0</v>
      </c>
      <c r="P164" s="132" t="e">
        <f>VLOOKUP(K164,Atitikmenys!A:C,2,0)</f>
        <v>#N/A</v>
      </c>
    </row>
    <row r="165" spans="1:16" x14ac:dyDescent="0.25">
      <c r="A165" s="1" t="s">
        <v>37</v>
      </c>
      <c r="B165" t="s">
        <v>24</v>
      </c>
      <c r="C165" t="s">
        <v>24</v>
      </c>
      <c r="D165">
        <f>2+36</f>
        <v>38</v>
      </c>
      <c r="E165" t="s">
        <v>20</v>
      </c>
      <c r="F165" t="s">
        <v>20</v>
      </c>
      <c r="G165">
        <f>8+46</f>
        <v>54</v>
      </c>
      <c r="J165" s="58" t="str">
        <f ca="1">INDIRECT("A"&amp;MATCH("Orai Kaune",A:A,0)+ROW()-56)</f>
        <v>An</v>
      </c>
      <c r="M165" s="163" t="e">
        <f ca="1">VLOOKUP(J165,Atitikmenys!A:C,2,0)</f>
        <v>#N/A</v>
      </c>
      <c r="N165" s="19" t="e">
        <f ca="1">VLOOKUP(J165,Atitikmenys!A:C,3,0)</f>
        <v>#N/A</v>
      </c>
      <c r="O165" s="130" t="e">
        <f>VLOOKUP(L165,Atitikmenys!A:B,2,0)</f>
        <v>#N/A</v>
      </c>
      <c r="P165" s="132" t="e">
        <f>VLOOKUP(K165,Atitikmenys!A:C,2,0)</f>
        <v>#N/A</v>
      </c>
    </row>
    <row r="166" spans="1:16" x14ac:dyDescent="0.25">
      <c r="A166" s="1" t="s">
        <v>374</v>
      </c>
      <c r="J166" s="58" t="str">
        <f ca="1">INDIRECT("A"&amp;MATCH("Orai Kaune",A:A,0)+ROW()-56)</f>
        <v>31.10</v>
      </c>
      <c r="M166" s="163" t="e">
        <f ca="1">VLOOKUP(J166,Atitikmenys!A:C,2,0)</f>
        <v>#N/A</v>
      </c>
      <c r="N166" s="19" t="e">
        <f ca="1">VLOOKUP(J166,Atitikmenys!A:C,3,0)</f>
        <v>#N/A</v>
      </c>
      <c r="O166" s="131">
        <f>VLOOKUP(L166,Atitikmenys!C:D,2,0)</f>
        <v>0</v>
      </c>
      <c r="P166" s="132" t="e">
        <f>VLOOKUP(K166,Atitikmenys!A:C,2,0)</f>
        <v>#N/A</v>
      </c>
    </row>
    <row r="167" spans="1:16" x14ac:dyDescent="0.25">
      <c r="A167" s="1" t="s">
        <v>375</v>
      </c>
      <c r="D167" t="s">
        <v>25</v>
      </c>
      <c r="E167" t="s">
        <v>26</v>
      </c>
      <c r="F167" t="s">
        <v>207</v>
      </c>
      <c r="G167" t="s">
        <v>27</v>
      </c>
      <c r="H167" t="s">
        <v>28</v>
      </c>
      <c r="J167" s="58" t="str">
        <f ca="1">INDIRECT("A"&amp;MATCH("Orai Kaune",A:A,0)+ROW()-56)</f>
        <v>An, 31 spalio</v>
      </c>
      <c r="L167" s="161" t="str">
        <f t="shared" ref="L167:L174" ca="1" si="8">INDIRECT("F"&amp;MATCH("Orai Kaune",A:A,0)+ROW()-55)</f>
        <v>V</v>
      </c>
      <c r="M167" s="163" t="e">
        <f ca="1">VLOOKUP(J167,Atitikmenys!A:C,2,0)</f>
        <v>#N/A</v>
      </c>
      <c r="N167" s="19" t="e">
        <f ca="1">VLOOKUP(J167,Atitikmenys!A:C,3,0)</f>
        <v>#N/A</v>
      </c>
      <c r="O167" s="130" t="str">
        <f ca="1">VLOOKUP(L167,Atitikmenys!A:B,2,0)</f>
        <v>Ú</v>
      </c>
      <c r="P167" s="132" t="e">
        <f>VLOOKUP(K167,Atitikmenys!A:C,2,0)</f>
        <v>#N/A</v>
      </c>
    </row>
    <row r="168" spans="1:16" x14ac:dyDescent="0.25">
      <c r="A168" s="128" t="s">
        <v>205</v>
      </c>
      <c r="B168" t="s">
        <v>24</v>
      </c>
      <c r="C168" t="s">
        <v>24</v>
      </c>
      <c r="D168">
        <f>2+36</f>
        <v>38</v>
      </c>
      <c r="E168">
        <v>761301015</v>
      </c>
      <c r="F168" t="s">
        <v>45</v>
      </c>
      <c r="G168">
        <v>91</v>
      </c>
      <c r="H168">
        <f>1+34</f>
        <v>35</v>
      </c>
      <c r="J168" s="161" t="str">
        <f ca="1">INDIRECT("B"&amp;MATCH("Orai Kaune",A:A,0)+ROW()-56)</f>
        <v>Debesuota</v>
      </c>
      <c r="K168" s="161">
        <f ca="1">INDIRECT("D"&amp;MATCH("Orai Kaune",A:A,0)+ROW()-56)</f>
        <v>38</v>
      </c>
      <c r="L168" s="161">
        <f t="shared" ca="1" si="8"/>
        <v>247</v>
      </c>
      <c r="M168" s="163" t="str">
        <f ca="1">VLOOKUP(J168,Atitikmenys!A:C,2,0)</f>
        <v>Ù</v>
      </c>
      <c r="N168" s="19" t="str">
        <f ca="1">VLOOKUP(J168,Atitikmenys!A:C,3,0)</f>
        <v xml:space="preserve"> </v>
      </c>
      <c r="O168" s="131">
        <f ca="1">VLOOKUP(L168,Atitikmenys!C:D,2,0)</f>
        <v>2</v>
      </c>
      <c r="P168" s="132">
        <f ca="1">VLOOKUP(K168,Atitikmenys!A:C,2,0)</f>
        <v>2</v>
      </c>
    </row>
    <row r="169" spans="1:16" x14ac:dyDescent="0.25">
      <c r="A169" s="133"/>
      <c r="F169">
        <v>247</v>
      </c>
      <c r="J169" s="161"/>
      <c r="K169" s="161"/>
      <c r="L169" s="161" t="str">
        <f t="shared" ca="1" si="8"/>
        <v>PV</v>
      </c>
      <c r="M169" s="163" t="e">
        <f>VLOOKUP(J169,Atitikmenys!A:C,2,0)</f>
        <v>#N/A</v>
      </c>
      <c r="N169" s="19" t="e">
        <f>VLOOKUP(J169,Atitikmenys!A:C,3,0)</f>
        <v>#N/A</v>
      </c>
      <c r="O169" s="130" t="str">
        <f ca="1">VLOOKUP(L169,Atitikmenys!A:B,2,0)</f>
        <v>Þ</v>
      </c>
      <c r="P169" s="132" t="e">
        <f>VLOOKUP(K169,Atitikmenys!A:C,2,0)</f>
        <v>#N/A</v>
      </c>
    </row>
    <row r="170" spans="1:16" x14ac:dyDescent="0.25">
      <c r="A170" s="128" t="s">
        <v>208</v>
      </c>
      <c r="B170" t="s">
        <v>20</v>
      </c>
      <c r="C170" t="s">
        <v>20</v>
      </c>
      <c r="D170">
        <f>1+34</f>
        <v>35</v>
      </c>
      <c r="E170">
        <v>761301015</v>
      </c>
      <c r="F170" t="s">
        <v>43</v>
      </c>
      <c r="G170">
        <v>91</v>
      </c>
      <c r="H170" t="s">
        <v>322</v>
      </c>
      <c r="J170" s="161" t="str">
        <f ca="1">INDIRECT("B"&amp;MATCH("Orai Kaune",A:A,0)+ROW()-56)</f>
        <v>Didelis debesuotumas</v>
      </c>
      <c r="K170" s="161">
        <f ca="1">INDIRECT("D"&amp;MATCH("Orai Kaune",A:A,0)+ROW()-56)</f>
        <v>35</v>
      </c>
      <c r="L170" s="161">
        <f t="shared" ca="1" si="8"/>
        <v>3711</v>
      </c>
      <c r="M170" s="163" t="str">
        <f ca="1">VLOOKUP(J170,Atitikmenys!A:C,2,0)</f>
        <v>ÙÙ</v>
      </c>
      <c r="N170" s="19" t="str">
        <f ca="1">VLOOKUP(J170,Atitikmenys!A:C,3,0)</f>
        <v xml:space="preserve"> </v>
      </c>
      <c r="O170" s="131">
        <f ca="1">VLOOKUP(L170,Atitikmenys!C:D,2,0)</f>
        <v>3</v>
      </c>
      <c r="P170" s="132">
        <f ca="1">VLOOKUP(K170,Atitikmenys!A:C,2,0)</f>
        <v>1</v>
      </c>
    </row>
    <row r="171" spans="1:16" x14ac:dyDescent="0.25">
      <c r="A171" s="133"/>
      <c r="F171">
        <v>3711</v>
      </c>
      <c r="J171" s="161"/>
      <c r="K171" s="161"/>
      <c r="L171" s="161" t="str">
        <f t="shared" ca="1" si="8"/>
        <v>V</v>
      </c>
      <c r="M171" s="163" t="e">
        <f>VLOOKUP(J171,Atitikmenys!A:C,2,0)</f>
        <v>#N/A</v>
      </c>
      <c r="N171" s="19" t="e">
        <f>VLOOKUP(J171,Atitikmenys!A:C,3,0)</f>
        <v>#N/A</v>
      </c>
      <c r="O171" s="130" t="str">
        <f ca="1">VLOOKUP(L171,Atitikmenys!A:B,2,0)</f>
        <v>Ú</v>
      </c>
      <c r="P171" s="132" t="e">
        <f>VLOOKUP(K171,Atitikmenys!A:C,2,0)</f>
        <v>#N/A</v>
      </c>
    </row>
    <row r="172" spans="1:16" x14ac:dyDescent="0.25">
      <c r="A172" s="128" t="s">
        <v>206</v>
      </c>
      <c r="B172" t="s">
        <v>20</v>
      </c>
      <c r="C172" t="s">
        <v>20</v>
      </c>
      <c r="D172">
        <f>8+46</f>
        <v>54</v>
      </c>
      <c r="E172">
        <v>758301011</v>
      </c>
      <c r="F172" t="s">
        <v>45</v>
      </c>
      <c r="G172">
        <v>72</v>
      </c>
      <c r="H172">
        <f>7+45</f>
        <v>52</v>
      </c>
      <c r="J172" s="161" t="str">
        <f ca="1">INDIRECT("B"&amp;MATCH("Orai Kaune",A:A,0)+ROW()-56)</f>
        <v>Didelis debesuotumas</v>
      </c>
      <c r="K172" s="161">
        <f ca="1">INDIRECT("D"&amp;MATCH("Orai Kaune",A:A,0)+ROW()-56)</f>
        <v>54</v>
      </c>
      <c r="L172" s="161">
        <f t="shared" ca="1" si="8"/>
        <v>61322</v>
      </c>
      <c r="M172" s="163" t="str">
        <f ca="1">VLOOKUP(J172,Atitikmenys!A:C,2,0)</f>
        <v>ÙÙ</v>
      </c>
      <c r="N172" s="19" t="str">
        <f ca="1">VLOOKUP(J172,Atitikmenys!A:C,3,0)</f>
        <v xml:space="preserve"> </v>
      </c>
      <c r="O172" s="131">
        <f ca="1">VLOOKUP(L172,Atitikmenys!C:D,2,0)</f>
        <v>6</v>
      </c>
      <c r="P172" s="132">
        <f ca="1">VLOOKUP(K172,Atitikmenys!A:C,2,0)</f>
        <v>8</v>
      </c>
    </row>
    <row r="173" spans="1:16" x14ac:dyDescent="0.25">
      <c r="A173" s="133"/>
      <c r="F173">
        <v>61322</v>
      </c>
      <c r="J173" s="161"/>
      <c r="K173" s="161"/>
      <c r="L173" s="161" t="str">
        <f t="shared" ca="1" si="8"/>
        <v>V</v>
      </c>
      <c r="M173" s="163" t="e">
        <f>VLOOKUP(J173,Atitikmenys!A:C,2,0)</f>
        <v>#N/A</v>
      </c>
      <c r="N173" s="19" t="e">
        <f>VLOOKUP(J173,Atitikmenys!A:C,3,0)</f>
        <v>#N/A</v>
      </c>
      <c r="O173" s="130" t="str">
        <f ca="1">VLOOKUP(L173,Atitikmenys!A:B,2,0)</f>
        <v>Ú</v>
      </c>
      <c r="P173" s="132" t="e">
        <f>VLOOKUP(K173,Atitikmenys!A:C,2,0)</f>
        <v>#N/A</v>
      </c>
    </row>
    <row r="174" spans="1:16" x14ac:dyDescent="0.25">
      <c r="A174" s="128" t="s">
        <v>209</v>
      </c>
      <c r="B174" t="s">
        <v>24</v>
      </c>
      <c r="C174" t="s">
        <v>24</v>
      </c>
      <c r="D174">
        <f>7+45</f>
        <v>52</v>
      </c>
      <c r="E174">
        <v>758301011</v>
      </c>
      <c r="F174" t="s">
        <v>45</v>
      </c>
      <c r="G174">
        <v>88</v>
      </c>
      <c r="H174">
        <f>5+41</f>
        <v>46</v>
      </c>
      <c r="J174" s="161" t="str">
        <f ca="1">INDIRECT("B"&amp;MATCH("Orai Kaune",A:A,0)+ROW()-56)</f>
        <v>Debesuota</v>
      </c>
      <c r="K174" s="161">
        <f ca="1">INDIRECT("D"&amp;MATCH("Orai Kaune",A:A,0)+ROW()-56)</f>
        <v>52</v>
      </c>
      <c r="L174" s="161">
        <f t="shared" ca="1" si="8"/>
        <v>51118</v>
      </c>
      <c r="M174" s="163" t="str">
        <f ca="1">VLOOKUP(J174,Atitikmenys!A:C,2,0)</f>
        <v>Ù</v>
      </c>
      <c r="N174" s="19" t="str">
        <f ca="1">VLOOKUP(J174,Atitikmenys!A:C,3,0)</f>
        <v xml:space="preserve"> </v>
      </c>
      <c r="O174" s="131">
        <f ca="1">VLOOKUP(L174,Atitikmenys!C:D,2,0)</f>
        <v>5</v>
      </c>
      <c r="P174" s="132">
        <f ca="1">VLOOKUP(K174,Atitikmenys!A:C,2,0)</f>
        <v>7</v>
      </c>
    </row>
    <row r="175" spans="1:16" x14ac:dyDescent="0.25">
      <c r="A175" s="133"/>
      <c r="F175">
        <v>51118</v>
      </c>
      <c r="J175" s="161"/>
      <c r="K175" s="161"/>
      <c r="L175" s="38"/>
      <c r="M175" s="163" t="e">
        <f>VLOOKUP(J175,Atitikmenys!A:C,2,0)</f>
        <v>#N/A</v>
      </c>
      <c r="N175" s="19" t="e">
        <f>VLOOKUP(J175,Atitikmenys!A:C,3,0)</f>
        <v>#N/A</v>
      </c>
      <c r="O175" s="130" t="e">
        <f>VLOOKUP(L175,Atitikmenys!A:B,2,0)</f>
        <v>#N/A</v>
      </c>
      <c r="P175" s="132" t="e">
        <f>VLOOKUP(K175,Atitikmenys!A:C,2,0)</f>
        <v>#N/A</v>
      </c>
    </row>
    <row r="176" spans="1:16" x14ac:dyDescent="0.25">
      <c r="A176" s="1" t="s">
        <v>205</v>
      </c>
      <c r="J176" s="47" t="s">
        <v>103</v>
      </c>
      <c r="K176" s="47" t="s">
        <v>105</v>
      </c>
      <c r="L176" s="47" t="s">
        <v>104</v>
      </c>
      <c r="M176" s="162" t="s">
        <v>110</v>
      </c>
      <c r="N176" s="162" t="s">
        <v>111</v>
      </c>
      <c r="O176" s="162" t="s">
        <v>104</v>
      </c>
      <c r="P176" s="162" t="s">
        <v>105</v>
      </c>
    </row>
    <row r="177" spans="1:16" x14ac:dyDescent="0.25">
      <c r="A177" s="1" t="s">
        <v>206</v>
      </c>
      <c r="J177" s="58"/>
      <c r="M177" s="163" t="e">
        <f>VLOOKUP(J177,Atitikmenys!A:C,2,0)</f>
        <v>#N/A</v>
      </c>
      <c r="N177" s="19" t="e">
        <f>VLOOKUP(J177,Atitikmenys!A:C,3,0)</f>
        <v>#N/A</v>
      </c>
      <c r="O177" s="131">
        <f>VLOOKUP(L177,Atitikmenys!C:D,2,0)</f>
        <v>0</v>
      </c>
      <c r="P177" s="132" t="e">
        <f>VLOOKUP(K177,Atitikmenys!A:C,2,0)</f>
        <v>#N/A</v>
      </c>
    </row>
    <row r="178" spans="1:16" x14ac:dyDescent="0.25">
      <c r="A178" s="1" t="s">
        <v>40</v>
      </c>
      <c r="B178" t="s">
        <v>47</v>
      </c>
      <c r="C178" t="s">
        <v>47</v>
      </c>
      <c r="D178">
        <f>5+41</f>
        <v>46</v>
      </c>
      <c r="E178" t="s">
        <v>24</v>
      </c>
      <c r="F178" t="s">
        <v>24</v>
      </c>
      <c r="G178">
        <f>9+48</f>
        <v>57</v>
      </c>
      <c r="J178" s="58" t="str">
        <f ca="1">INDIRECT("A"&amp;MATCH("Orai Kaune",A:A,0)+ROW()-56)</f>
        <v>Tr</v>
      </c>
      <c r="M178" s="163" t="e">
        <f ca="1">VLOOKUP(J178,Atitikmenys!A:C,2,0)</f>
        <v>#N/A</v>
      </c>
      <c r="N178" s="19" t="e">
        <f ca="1">VLOOKUP(J178,Atitikmenys!A:C,3,0)</f>
        <v>#N/A</v>
      </c>
      <c r="O178" s="130" t="e">
        <f>VLOOKUP(L178,Atitikmenys!A:B,2,0)</f>
        <v>#N/A</v>
      </c>
      <c r="P178" s="132" t="e">
        <f>VLOOKUP(K178,Atitikmenys!A:C,2,0)</f>
        <v>#N/A</v>
      </c>
    </row>
    <row r="179" spans="1:16" x14ac:dyDescent="0.25">
      <c r="A179" s="1" t="s">
        <v>376</v>
      </c>
      <c r="J179" s="58" t="str">
        <f ca="1">INDIRECT("A"&amp;MATCH("Orai Kaune",A:A,0)+ROW()-56)</f>
        <v>1.11</v>
      </c>
      <c r="M179" s="163" t="e">
        <f ca="1">VLOOKUP(J179,Atitikmenys!A:C,2,0)</f>
        <v>#N/A</v>
      </c>
      <c r="N179" s="19" t="e">
        <f ca="1">VLOOKUP(J179,Atitikmenys!A:C,3,0)</f>
        <v>#N/A</v>
      </c>
      <c r="O179" s="131">
        <f>VLOOKUP(L179,Atitikmenys!C:D,2,0)</f>
        <v>0</v>
      </c>
      <c r="P179" s="132" t="e">
        <f>VLOOKUP(K179,Atitikmenys!A:C,2,0)</f>
        <v>#N/A</v>
      </c>
    </row>
    <row r="180" spans="1:16" x14ac:dyDescent="0.25">
      <c r="A180" s="1" t="s">
        <v>377</v>
      </c>
      <c r="D180" t="s">
        <v>25</v>
      </c>
      <c r="E180" t="s">
        <v>26</v>
      </c>
      <c r="F180" t="s">
        <v>207</v>
      </c>
      <c r="G180" t="s">
        <v>27</v>
      </c>
      <c r="H180" t="s">
        <v>28</v>
      </c>
      <c r="J180" s="58" t="str">
        <f ca="1">INDIRECT("A"&amp;MATCH("Orai Kaune",A:A,0)+ROW()-56)</f>
        <v>Tr, 1 lapkričio</v>
      </c>
      <c r="L180" s="161" t="str">
        <f t="shared" ref="L180:L187" ca="1" si="9">INDIRECT("F"&amp;MATCH("Orai Kaune",A:A,0)+ROW()-55)</f>
        <v>V</v>
      </c>
      <c r="M180" s="163" t="e">
        <f ca="1">VLOOKUP(J180,Atitikmenys!A:C,2,0)</f>
        <v>#N/A</v>
      </c>
      <c r="N180" s="19" t="e">
        <f ca="1">VLOOKUP(J180,Atitikmenys!A:C,3,0)</f>
        <v>#N/A</v>
      </c>
      <c r="O180" s="130" t="str">
        <f ca="1">VLOOKUP(L180,Atitikmenys!A:B,2,0)</f>
        <v>Ú</v>
      </c>
      <c r="P180" s="132" t="e">
        <f>VLOOKUP(K180,Atitikmenys!A:C,2,0)</f>
        <v>#N/A</v>
      </c>
    </row>
    <row r="181" spans="1:16" x14ac:dyDescent="0.25">
      <c r="A181" s="128" t="s">
        <v>205</v>
      </c>
      <c r="B181" t="s">
        <v>47</v>
      </c>
      <c r="C181" t="s">
        <v>47</v>
      </c>
      <c r="D181">
        <f>5+41</f>
        <v>46</v>
      </c>
      <c r="E181">
        <v>758301011</v>
      </c>
      <c r="F181" t="s">
        <v>45</v>
      </c>
      <c r="G181">
        <v>93</v>
      </c>
      <c r="H181">
        <f>4+39</f>
        <v>43</v>
      </c>
      <c r="J181" s="161" t="str">
        <f ca="1">INDIRECT("B"&amp;MATCH("Orai Kaune",A:A,0)+ROW()-56)</f>
        <v>Mažas debesuotumas</v>
      </c>
      <c r="K181" s="161">
        <f ca="1">INDIRECT("D"&amp;MATCH("Orai Kaune",A:A,0)+ROW()-56)</f>
        <v>46</v>
      </c>
      <c r="L181" s="161">
        <f t="shared" ca="1" si="9"/>
        <v>3711</v>
      </c>
      <c r="M181" s="163" t="str">
        <f ca="1">VLOOKUP(J181,Atitikmenys!A:C,2,0)</f>
        <v>Ö</v>
      </c>
      <c r="N181" s="19" t="str">
        <f ca="1">VLOOKUP(J181,Atitikmenys!A:C,3,0)</f>
        <v xml:space="preserve"> </v>
      </c>
      <c r="O181" s="131">
        <f ca="1">VLOOKUP(L181,Atitikmenys!C:D,2,0)</f>
        <v>3</v>
      </c>
      <c r="P181" s="132">
        <f ca="1">VLOOKUP(K181,Atitikmenys!A:C,2,0)</f>
        <v>5</v>
      </c>
    </row>
    <row r="182" spans="1:16" x14ac:dyDescent="0.25">
      <c r="A182" s="133"/>
      <c r="F182">
        <v>3711</v>
      </c>
      <c r="J182" s="161"/>
      <c r="K182" s="161"/>
      <c r="L182" s="161" t="str">
        <f t="shared" ca="1" si="9"/>
        <v>V</v>
      </c>
      <c r="M182" s="163" t="e">
        <f>VLOOKUP(J182,Atitikmenys!A:C,2,0)</f>
        <v>#N/A</v>
      </c>
      <c r="N182" s="19" t="e">
        <f>VLOOKUP(J182,Atitikmenys!A:C,3,0)</f>
        <v>#N/A</v>
      </c>
      <c r="O182" s="130" t="str">
        <f ca="1">VLOOKUP(L182,Atitikmenys!A:B,2,0)</f>
        <v>Ú</v>
      </c>
      <c r="P182" s="132" t="e">
        <f>VLOOKUP(K182,Atitikmenys!A:C,2,0)</f>
        <v>#N/A</v>
      </c>
    </row>
    <row r="183" spans="1:16" x14ac:dyDescent="0.25">
      <c r="A183" s="128" t="s">
        <v>208</v>
      </c>
      <c r="B183" t="s">
        <v>29</v>
      </c>
      <c r="C183" t="s">
        <v>29</v>
      </c>
      <c r="D183">
        <f>3+37</f>
        <v>40</v>
      </c>
      <c r="E183">
        <v>757301009</v>
      </c>
      <c r="F183" t="s">
        <v>45</v>
      </c>
      <c r="G183">
        <v>96</v>
      </c>
      <c r="H183">
        <f>2+36</f>
        <v>38</v>
      </c>
      <c r="J183" s="161" t="str">
        <f ca="1">INDIRECT("B"&amp;MATCH("Orai Kaune",A:A,0)+ROW()-56)</f>
        <v>Giedra</v>
      </c>
      <c r="K183" s="161">
        <f ca="1">INDIRECT("D"&amp;MATCH("Orai Kaune",A:A,0)+ROW()-56)</f>
        <v>40</v>
      </c>
      <c r="L183" s="161">
        <f t="shared" ca="1" si="9"/>
        <v>247</v>
      </c>
      <c r="M183" s="163" t="str">
        <f ca="1">VLOOKUP(J183,Atitikmenys!A:C,2,0)</f>
        <v>Õ</v>
      </c>
      <c r="N183" s="19" t="str">
        <f ca="1">VLOOKUP(J183,Atitikmenys!A:C,3,0)</f>
        <v xml:space="preserve"> </v>
      </c>
      <c r="O183" s="131">
        <f ca="1">VLOOKUP(L183,Atitikmenys!C:D,2,0)</f>
        <v>2</v>
      </c>
      <c r="P183" s="132">
        <f ca="1">VLOOKUP(K183,Atitikmenys!A:C,2,0)</f>
        <v>3</v>
      </c>
    </row>
    <row r="184" spans="1:16" x14ac:dyDescent="0.25">
      <c r="A184" s="133"/>
      <c r="F184">
        <v>247</v>
      </c>
      <c r="J184" s="161"/>
      <c r="K184" s="161"/>
      <c r="L184" s="161" t="str">
        <f t="shared" ca="1" si="9"/>
        <v>V</v>
      </c>
      <c r="M184" s="163" t="e">
        <f>VLOOKUP(J184,Atitikmenys!A:C,2,0)</f>
        <v>#N/A</v>
      </c>
      <c r="N184" s="19" t="e">
        <f>VLOOKUP(J184,Atitikmenys!A:C,3,0)</f>
        <v>#N/A</v>
      </c>
      <c r="O184" s="130" t="str">
        <f ca="1">VLOOKUP(L184,Atitikmenys!A:B,2,0)</f>
        <v>Ú</v>
      </c>
      <c r="P184" s="132" t="e">
        <f>VLOOKUP(K184,Atitikmenys!A:C,2,0)</f>
        <v>#N/A</v>
      </c>
    </row>
    <row r="185" spans="1:16" x14ac:dyDescent="0.25">
      <c r="A185" s="128" t="s">
        <v>206</v>
      </c>
      <c r="B185" t="s">
        <v>24</v>
      </c>
      <c r="C185" t="s">
        <v>24</v>
      </c>
      <c r="D185">
        <f>9+48</f>
        <v>57</v>
      </c>
      <c r="E185">
        <v>756301008</v>
      </c>
      <c r="F185" t="s">
        <v>45</v>
      </c>
      <c r="G185">
        <v>64</v>
      </c>
      <c r="H185">
        <f>8+46</f>
        <v>54</v>
      </c>
      <c r="J185" s="161" t="str">
        <f ca="1">INDIRECT("B"&amp;MATCH("Orai Kaune",A:A,0)+ROW()-56)</f>
        <v>Debesuota</v>
      </c>
      <c r="K185" s="161">
        <f ca="1">INDIRECT("D"&amp;MATCH("Orai Kaune",A:A,0)+ROW()-56)</f>
        <v>57</v>
      </c>
      <c r="L185" s="161">
        <f t="shared" ca="1" si="9"/>
        <v>3711</v>
      </c>
      <c r="M185" s="163" t="str">
        <f ca="1">VLOOKUP(J185,Atitikmenys!A:C,2,0)</f>
        <v>Ù</v>
      </c>
      <c r="N185" s="19" t="str">
        <f ca="1">VLOOKUP(J185,Atitikmenys!A:C,3,0)</f>
        <v xml:space="preserve"> </v>
      </c>
      <c r="O185" s="131">
        <f ca="1">VLOOKUP(L185,Atitikmenys!C:D,2,0)</f>
        <v>3</v>
      </c>
      <c r="P185" s="132">
        <f ca="1">VLOOKUP(K185,Atitikmenys!A:C,2,0)</f>
        <v>9</v>
      </c>
    </row>
    <row r="186" spans="1:16" x14ac:dyDescent="0.25">
      <c r="A186" s="133"/>
      <c r="F186">
        <v>3711</v>
      </c>
      <c r="J186" s="161"/>
      <c r="K186" s="161"/>
      <c r="L186" s="161" t="str">
        <f t="shared" ca="1" si="9"/>
        <v>PV</v>
      </c>
      <c r="M186" s="163" t="e">
        <f>VLOOKUP(J186,Atitikmenys!A:C,2,0)</f>
        <v>#N/A</v>
      </c>
      <c r="N186" s="19" t="e">
        <f>VLOOKUP(J186,Atitikmenys!A:C,3,0)</f>
        <v>#N/A</v>
      </c>
      <c r="O186" s="130" t="str">
        <f ca="1">VLOOKUP(L186,Atitikmenys!A:B,2,0)</f>
        <v>Þ</v>
      </c>
      <c r="P186" s="132" t="e">
        <f>VLOOKUP(K186,Atitikmenys!A:C,2,0)</f>
        <v>#N/A</v>
      </c>
    </row>
    <row r="187" spans="1:16" x14ac:dyDescent="0.25">
      <c r="A187" s="128" t="s">
        <v>209</v>
      </c>
      <c r="B187" t="s">
        <v>20</v>
      </c>
      <c r="C187" t="s">
        <v>20</v>
      </c>
      <c r="D187">
        <f>5+41</f>
        <v>46</v>
      </c>
      <c r="E187">
        <v>758301011</v>
      </c>
      <c r="F187" t="s">
        <v>43</v>
      </c>
      <c r="G187">
        <v>72</v>
      </c>
      <c r="H187">
        <f>3+37</f>
        <v>40</v>
      </c>
      <c r="J187" s="161" t="str">
        <f ca="1">INDIRECT("B"&amp;MATCH("Orai Kaune",A:A,0)+ROW()-56)</f>
        <v>Didelis debesuotumas</v>
      </c>
      <c r="K187" s="161">
        <f ca="1">INDIRECT("D"&amp;MATCH("Orai Kaune",A:A,0)+ROW()-56)</f>
        <v>46</v>
      </c>
      <c r="L187" s="161">
        <f t="shared" ca="1" si="9"/>
        <v>247</v>
      </c>
      <c r="M187" s="163" t="str">
        <f ca="1">VLOOKUP(J187,Atitikmenys!A:C,2,0)</f>
        <v>ÙÙ</v>
      </c>
      <c r="N187" s="19" t="str">
        <f ca="1">VLOOKUP(J187,Atitikmenys!A:C,3,0)</f>
        <v xml:space="preserve"> </v>
      </c>
      <c r="O187" s="131">
        <f ca="1">VLOOKUP(L187,Atitikmenys!C:D,2,0)</f>
        <v>2</v>
      </c>
      <c r="P187" s="132">
        <f ca="1">VLOOKUP(K187,Atitikmenys!A:C,2,0)</f>
        <v>5</v>
      </c>
    </row>
    <row r="188" spans="1:16" x14ac:dyDescent="0.25">
      <c r="A188" s="133"/>
      <c r="F188">
        <v>247</v>
      </c>
      <c r="J188" s="161"/>
      <c r="K188" s="161"/>
      <c r="L188" s="38"/>
      <c r="M188" s="163" t="e">
        <f>VLOOKUP(J188,Atitikmenys!A:C,2,0)</f>
        <v>#N/A</v>
      </c>
      <c r="N188" s="19" t="e">
        <f>VLOOKUP(J188,Atitikmenys!A:C,3,0)</f>
        <v>#N/A</v>
      </c>
      <c r="O188" s="130" t="e">
        <f>VLOOKUP(L188,Atitikmenys!A:B,2,0)</f>
        <v>#N/A</v>
      </c>
      <c r="P188" s="132" t="e">
        <f>VLOOKUP(K188,Atitikmenys!A:C,2,0)</f>
        <v>#N/A</v>
      </c>
    </row>
    <row r="189" spans="1:16" x14ac:dyDescent="0.25">
      <c r="A189" s="1" t="s">
        <v>205</v>
      </c>
      <c r="J189" s="47" t="s">
        <v>103</v>
      </c>
      <c r="K189" s="47" t="s">
        <v>105</v>
      </c>
      <c r="L189" s="47" t="s">
        <v>104</v>
      </c>
      <c r="M189" s="162" t="s">
        <v>110</v>
      </c>
      <c r="N189" s="162" t="s">
        <v>111</v>
      </c>
      <c r="O189" s="162" t="s">
        <v>104</v>
      </c>
      <c r="P189" s="162" t="s">
        <v>105</v>
      </c>
    </row>
    <row r="190" spans="1:16" x14ac:dyDescent="0.25">
      <c r="A190" s="1" t="s">
        <v>206</v>
      </c>
      <c r="J190" s="58"/>
      <c r="M190" s="163" t="e">
        <f>VLOOKUP(J190,Atitikmenys!A:C,2,0)</f>
        <v>#N/A</v>
      </c>
      <c r="N190" s="19" t="e">
        <f>VLOOKUP(J190,Atitikmenys!A:C,3,0)</f>
        <v>#N/A</v>
      </c>
      <c r="O190" s="131">
        <f>VLOOKUP(L190,Atitikmenys!C:D,2,0)</f>
        <v>0</v>
      </c>
      <c r="P190" s="132" t="e">
        <f>VLOOKUP(K190,Atitikmenys!A:C,2,0)</f>
        <v>#N/A</v>
      </c>
    </row>
    <row r="191" spans="1:16" x14ac:dyDescent="0.25">
      <c r="A191" s="1" t="s">
        <v>42</v>
      </c>
      <c r="B191" t="s">
        <v>24</v>
      </c>
      <c r="C191" t="s">
        <v>24</v>
      </c>
      <c r="D191">
        <f>3+37</f>
        <v>40</v>
      </c>
      <c r="E191" t="s">
        <v>24</v>
      </c>
      <c r="F191" t="s">
        <v>24</v>
      </c>
      <c r="G191">
        <f>6+43</f>
        <v>49</v>
      </c>
      <c r="J191" s="58" t="str">
        <f ca="1">INDIRECT("A"&amp;MATCH("Orai Kaune",A:A,0)+ROW()-56)</f>
        <v>Kt</v>
      </c>
      <c r="M191" s="163" t="e">
        <f ca="1">VLOOKUP(J191,Atitikmenys!A:C,2,0)</f>
        <v>#N/A</v>
      </c>
      <c r="N191" s="19" t="e">
        <f ca="1">VLOOKUP(J191,Atitikmenys!A:C,3,0)</f>
        <v>#N/A</v>
      </c>
      <c r="O191" s="130" t="e">
        <f>VLOOKUP(L191,Atitikmenys!A:B,2,0)</f>
        <v>#N/A</v>
      </c>
      <c r="P191" s="132" t="e">
        <f>VLOOKUP(K191,Atitikmenys!A:C,2,0)</f>
        <v>#N/A</v>
      </c>
    </row>
    <row r="192" spans="1:16" x14ac:dyDescent="0.25">
      <c r="A192" s="1" t="s">
        <v>378</v>
      </c>
      <c r="J192" s="58" t="str">
        <f ca="1">INDIRECT("A"&amp;MATCH("Orai Kaune",A:A,0)+ROW()-56)</f>
        <v>2.11</v>
      </c>
      <c r="M192" s="163" t="e">
        <f ca="1">VLOOKUP(J192,Atitikmenys!A:C,2,0)</f>
        <v>#N/A</v>
      </c>
      <c r="N192" s="19" t="e">
        <f ca="1">VLOOKUP(J192,Atitikmenys!A:C,3,0)</f>
        <v>#N/A</v>
      </c>
      <c r="O192" s="131">
        <f>VLOOKUP(L192,Atitikmenys!C:D,2,0)</f>
        <v>0</v>
      </c>
      <c r="P192" s="132" t="e">
        <f>VLOOKUP(K192,Atitikmenys!A:C,2,0)</f>
        <v>#N/A</v>
      </c>
    </row>
    <row r="193" spans="1:16" x14ac:dyDescent="0.25">
      <c r="A193" s="1" t="s">
        <v>379</v>
      </c>
      <c r="D193" t="s">
        <v>25</v>
      </c>
      <c r="E193" t="s">
        <v>26</v>
      </c>
      <c r="F193" t="s">
        <v>207</v>
      </c>
      <c r="G193" t="s">
        <v>27</v>
      </c>
      <c r="H193" t="s">
        <v>28</v>
      </c>
      <c r="J193" s="58" t="str">
        <f ca="1">INDIRECT("A"&amp;MATCH("Orai Kaune",A:A,0)+ROW()-56)</f>
        <v>Kt, 2 lapkričio</v>
      </c>
      <c r="L193" s="161" t="str">
        <f t="shared" ref="L193:L200" ca="1" si="10">INDIRECT("F"&amp;MATCH("Orai Kaune",A:A,0)+ROW()-55)</f>
        <v>PV</v>
      </c>
      <c r="M193" s="163" t="e">
        <f ca="1">VLOOKUP(J193,Atitikmenys!A:C,2,0)</f>
        <v>#N/A</v>
      </c>
      <c r="N193" s="19" t="e">
        <f ca="1">VLOOKUP(J193,Atitikmenys!A:C,3,0)</f>
        <v>#N/A</v>
      </c>
      <c r="O193" s="130" t="str">
        <f ca="1">VLOOKUP(L193,Atitikmenys!A:B,2,0)</f>
        <v>Þ</v>
      </c>
      <c r="P193" s="132" t="e">
        <f>VLOOKUP(K193,Atitikmenys!A:C,2,0)</f>
        <v>#N/A</v>
      </c>
    </row>
    <row r="194" spans="1:16" x14ac:dyDescent="0.25">
      <c r="A194" s="128" t="s">
        <v>205</v>
      </c>
      <c r="B194" t="s">
        <v>24</v>
      </c>
      <c r="C194" t="s">
        <v>24</v>
      </c>
      <c r="D194">
        <f>3+37</f>
        <v>40</v>
      </c>
      <c r="E194">
        <v>761301015</v>
      </c>
      <c r="F194" t="s">
        <v>43</v>
      </c>
      <c r="G194">
        <v>76</v>
      </c>
      <c r="H194">
        <f>1+34</f>
        <v>35</v>
      </c>
      <c r="J194" s="161" t="str">
        <f ca="1">INDIRECT("B"&amp;MATCH("Orai Kaune",A:A,0)+ROW()-56)</f>
        <v>Debesuota</v>
      </c>
      <c r="K194" s="161">
        <f ca="1">INDIRECT("D"&amp;MATCH("Orai Kaune",A:A,0)+ROW()-56)</f>
        <v>40</v>
      </c>
      <c r="L194" s="161">
        <f t="shared" ca="1" si="10"/>
        <v>247</v>
      </c>
      <c r="M194" s="163" t="str">
        <f ca="1">VLOOKUP(J194,Atitikmenys!A:C,2,0)</f>
        <v>Ù</v>
      </c>
      <c r="N194" s="19" t="str">
        <f ca="1">VLOOKUP(J194,Atitikmenys!A:C,3,0)</f>
        <v xml:space="preserve"> </v>
      </c>
      <c r="O194" s="131">
        <f ca="1">VLOOKUP(L194,Atitikmenys!C:D,2,0)</f>
        <v>2</v>
      </c>
      <c r="P194" s="132">
        <f ca="1">VLOOKUP(K194,Atitikmenys!A:C,2,0)</f>
        <v>3</v>
      </c>
    </row>
    <row r="195" spans="1:16" x14ac:dyDescent="0.25">
      <c r="A195" s="133"/>
      <c r="F195">
        <v>247</v>
      </c>
      <c r="J195" s="161"/>
      <c r="K195" s="161"/>
      <c r="L195" s="161" t="str">
        <f t="shared" ca="1" si="10"/>
        <v>PV</v>
      </c>
      <c r="M195" s="163" t="e">
        <f>VLOOKUP(J195,Atitikmenys!A:C,2,0)</f>
        <v>#N/A</v>
      </c>
      <c r="N195" s="19" t="e">
        <f>VLOOKUP(J195,Atitikmenys!A:C,3,0)</f>
        <v>#N/A</v>
      </c>
      <c r="O195" s="130" t="str">
        <f ca="1">VLOOKUP(L195,Atitikmenys!A:B,2,0)</f>
        <v>Þ</v>
      </c>
      <c r="P195" s="132" t="e">
        <f>VLOOKUP(K195,Atitikmenys!A:C,2,0)</f>
        <v>#N/A</v>
      </c>
    </row>
    <row r="196" spans="1:16" x14ac:dyDescent="0.25">
      <c r="A196" s="128" t="s">
        <v>208</v>
      </c>
      <c r="B196" t="s">
        <v>47</v>
      </c>
      <c r="C196" t="s">
        <v>47</v>
      </c>
      <c r="D196">
        <f>1+34</f>
        <v>35</v>
      </c>
      <c r="E196">
        <v>764301019</v>
      </c>
      <c r="F196" t="s">
        <v>43</v>
      </c>
      <c r="G196">
        <v>81</v>
      </c>
      <c r="H196" t="s">
        <v>322</v>
      </c>
      <c r="J196" s="161" t="str">
        <f ca="1">INDIRECT("B"&amp;MATCH("Orai Kaune",A:A,0)+ROW()-56)</f>
        <v>Mažas debesuotumas</v>
      </c>
      <c r="K196" s="161">
        <f ca="1">INDIRECT("D"&amp;MATCH("Orai Kaune",A:A,0)+ROW()-56)</f>
        <v>35</v>
      </c>
      <c r="L196" s="161">
        <f t="shared" ca="1" si="10"/>
        <v>247</v>
      </c>
      <c r="M196" s="163" t="str">
        <f ca="1">VLOOKUP(J196,Atitikmenys!A:C,2,0)</f>
        <v>Ö</v>
      </c>
      <c r="N196" s="19" t="str">
        <f ca="1">VLOOKUP(J196,Atitikmenys!A:C,3,0)</f>
        <v xml:space="preserve"> </v>
      </c>
      <c r="O196" s="131">
        <f ca="1">VLOOKUP(L196,Atitikmenys!C:D,2,0)</f>
        <v>2</v>
      </c>
      <c r="P196" s="132">
        <f ca="1">VLOOKUP(K196,Atitikmenys!A:C,2,0)</f>
        <v>1</v>
      </c>
    </row>
    <row r="197" spans="1:16" x14ac:dyDescent="0.25">
      <c r="A197" s="133"/>
      <c r="F197">
        <v>247</v>
      </c>
      <c r="J197" s="161"/>
      <c r="K197" s="161"/>
      <c r="L197" s="161" t="str">
        <f t="shared" ca="1" si="10"/>
        <v>V</v>
      </c>
      <c r="M197" s="163" t="e">
        <f>VLOOKUP(J197,Atitikmenys!A:C,2,0)</f>
        <v>#N/A</v>
      </c>
      <c r="N197" s="19" t="e">
        <f>VLOOKUP(J197,Atitikmenys!A:C,3,0)</f>
        <v>#N/A</v>
      </c>
      <c r="O197" s="130" t="str">
        <f ca="1">VLOOKUP(L197,Atitikmenys!A:B,2,0)</f>
        <v>Ú</v>
      </c>
      <c r="P197" s="132" t="e">
        <f>VLOOKUP(K197,Atitikmenys!A:C,2,0)</f>
        <v>#N/A</v>
      </c>
    </row>
    <row r="198" spans="1:16" x14ac:dyDescent="0.25">
      <c r="A198" s="128" t="s">
        <v>206</v>
      </c>
      <c r="B198" t="s">
        <v>24</v>
      </c>
      <c r="C198" t="s">
        <v>24</v>
      </c>
      <c r="D198">
        <f>6+43</f>
        <v>49</v>
      </c>
      <c r="E198">
        <v>768301024</v>
      </c>
      <c r="F198" t="s">
        <v>45</v>
      </c>
      <c r="G198">
        <v>72</v>
      </c>
      <c r="H198">
        <f>5+41</f>
        <v>46</v>
      </c>
      <c r="J198" s="161" t="str">
        <f ca="1">INDIRECT("B"&amp;MATCH("Orai Kaune",A:A,0)+ROW()-56)</f>
        <v>Debesuota</v>
      </c>
      <c r="K198" s="161">
        <f ca="1">INDIRECT("D"&amp;MATCH("Orai Kaune",A:A,0)+ROW()-56)</f>
        <v>49</v>
      </c>
      <c r="L198" s="161">
        <f t="shared" ca="1" si="10"/>
        <v>3711</v>
      </c>
      <c r="M198" s="163" t="str">
        <f ca="1">VLOOKUP(J198,Atitikmenys!A:C,2,0)</f>
        <v>Ù</v>
      </c>
      <c r="N198" s="19" t="str">
        <f ca="1">VLOOKUP(J198,Atitikmenys!A:C,3,0)</f>
        <v xml:space="preserve"> </v>
      </c>
      <c r="O198" s="131">
        <f ca="1">VLOOKUP(L198,Atitikmenys!C:D,2,0)</f>
        <v>3</v>
      </c>
      <c r="P198" s="132">
        <f ca="1">VLOOKUP(K198,Atitikmenys!A:C,2,0)</f>
        <v>6</v>
      </c>
    </row>
    <row r="199" spans="1:16" x14ac:dyDescent="0.25">
      <c r="A199" s="133"/>
      <c r="F199">
        <v>3711</v>
      </c>
      <c r="J199" s="161"/>
      <c r="K199" s="161"/>
      <c r="L199" s="161" t="str">
        <f t="shared" ca="1" si="10"/>
        <v>V</v>
      </c>
      <c r="M199" s="163" t="e">
        <f>VLOOKUP(J199,Atitikmenys!A:C,2,0)</f>
        <v>#N/A</v>
      </c>
      <c r="N199" s="19" t="e">
        <f>VLOOKUP(J199,Atitikmenys!A:C,3,0)</f>
        <v>#N/A</v>
      </c>
      <c r="O199" s="130" t="str">
        <f ca="1">VLOOKUP(L199,Atitikmenys!A:B,2,0)</f>
        <v>Ú</v>
      </c>
      <c r="P199" s="132" t="e">
        <f>VLOOKUP(K199,Atitikmenys!A:C,2,0)</f>
        <v>#N/A</v>
      </c>
    </row>
    <row r="200" spans="1:16" x14ac:dyDescent="0.25">
      <c r="A200" s="128" t="s">
        <v>209</v>
      </c>
      <c r="B200" t="s">
        <v>24</v>
      </c>
      <c r="C200" t="s">
        <v>24</v>
      </c>
      <c r="D200">
        <f>4+39</f>
        <v>43</v>
      </c>
      <c r="E200">
        <v>770301027</v>
      </c>
      <c r="F200" t="s">
        <v>45</v>
      </c>
      <c r="G200">
        <v>87</v>
      </c>
      <c r="H200">
        <f>3+37</f>
        <v>40</v>
      </c>
      <c r="J200" s="161" t="str">
        <f ca="1">INDIRECT("B"&amp;MATCH("Orai Kaune",A:A,0)+ROW()-56)</f>
        <v>Debesuota</v>
      </c>
      <c r="K200" s="161">
        <f ca="1">INDIRECT("D"&amp;MATCH("Orai Kaune",A:A,0)+ROW()-56)</f>
        <v>43</v>
      </c>
      <c r="L200" s="161">
        <f t="shared" ca="1" si="10"/>
        <v>3711</v>
      </c>
      <c r="M200" s="163" t="str">
        <f ca="1">VLOOKUP(J200,Atitikmenys!A:C,2,0)</f>
        <v>Ù</v>
      </c>
      <c r="N200" s="19" t="str">
        <f ca="1">VLOOKUP(J200,Atitikmenys!A:C,3,0)</f>
        <v xml:space="preserve"> </v>
      </c>
      <c r="O200" s="131">
        <f ca="1">VLOOKUP(L200,Atitikmenys!C:D,2,0)</f>
        <v>3</v>
      </c>
      <c r="P200" s="132">
        <f ca="1">VLOOKUP(K200,Atitikmenys!A:C,2,0)</f>
        <v>4</v>
      </c>
    </row>
    <row r="201" spans="1:16" x14ac:dyDescent="0.25">
      <c r="A201" s="133"/>
      <c r="F201">
        <v>3711</v>
      </c>
      <c r="J201" s="161"/>
      <c r="K201" s="161"/>
      <c r="L201" s="38"/>
      <c r="M201" s="163" t="e">
        <f>VLOOKUP(J201,Atitikmenys!A:C,2,0)</f>
        <v>#N/A</v>
      </c>
      <c r="N201" s="19" t="e">
        <f>VLOOKUP(J201,Atitikmenys!A:C,3,0)</f>
        <v>#N/A</v>
      </c>
      <c r="O201" s="130" t="e">
        <f>VLOOKUP(L201,Atitikmenys!A:B,2,0)</f>
        <v>#N/A</v>
      </c>
      <c r="P201" s="132" t="e">
        <f>VLOOKUP(K201,Atitikmenys!A:C,2,0)</f>
        <v>#N/A</v>
      </c>
    </row>
    <row r="202" spans="1:16" x14ac:dyDescent="0.25">
      <c r="A202" s="1" t="s">
        <v>205</v>
      </c>
      <c r="J202" s="47" t="s">
        <v>103</v>
      </c>
      <c r="K202" s="47" t="s">
        <v>105</v>
      </c>
      <c r="L202" s="47" t="s">
        <v>104</v>
      </c>
      <c r="M202" s="162" t="s">
        <v>110</v>
      </c>
      <c r="N202" s="162" t="s">
        <v>111</v>
      </c>
      <c r="O202" s="162" t="s">
        <v>104</v>
      </c>
      <c r="P202" s="162" t="s">
        <v>105</v>
      </c>
    </row>
    <row r="203" spans="1:16" x14ac:dyDescent="0.25">
      <c r="A203" s="1" t="s">
        <v>206</v>
      </c>
      <c r="J203" s="58"/>
      <c r="M203" s="163" t="e">
        <f>VLOOKUP(J203,Atitikmenys!A:C,2,0)</f>
        <v>#N/A</v>
      </c>
      <c r="N203" s="19" t="e">
        <f>VLOOKUP(J203,Atitikmenys!A:C,3,0)</f>
        <v>#N/A</v>
      </c>
      <c r="O203" s="131">
        <f>VLOOKUP(L203,Atitikmenys!C:D,2,0)</f>
        <v>0</v>
      </c>
      <c r="P203" s="132" t="e">
        <f>VLOOKUP(K203,Atitikmenys!A:C,2,0)</f>
        <v>#N/A</v>
      </c>
    </row>
    <row r="204" spans="1:16" x14ac:dyDescent="0.25">
      <c r="A204" s="1" t="s">
        <v>46</v>
      </c>
      <c r="B204" t="s">
        <v>20</v>
      </c>
      <c r="C204" t="s">
        <v>20</v>
      </c>
      <c r="D204">
        <f>2+36</f>
        <v>38</v>
      </c>
      <c r="E204" t="s">
        <v>29</v>
      </c>
      <c r="F204" t="s">
        <v>29</v>
      </c>
      <c r="G204">
        <f>7+45</f>
        <v>52</v>
      </c>
      <c r="J204" s="58" t="str">
        <f ca="1">INDIRECT("A"&amp;MATCH("Orai Kaune",A:A,0)+ROW()-56)</f>
        <v>Pn</v>
      </c>
      <c r="M204" s="163" t="e">
        <f ca="1">VLOOKUP(J204,Atitikmenys!A:C,2,0)</f>
        <v>#N/A</v>
      </c>
      <c r="N204" s="19" t="e">
        <f ca="1">VLOOKUP(J204,Atitikmenys!A:C,3,0)</f>
        <v>#N/A</v>
      </c>
      <c r="O204" s="130" t="e">
        <f>VLOOKUP(L204,Atitikmenys!A:B,2,0)</f>
        <v>#N/A</v>
      </c>
      <c r="P204" s="132" t="e">
        <f>VLOOKUP(K204,Atitikmenys!A:C,2,0)</f>
        <v>#N/A</v>
      </c>
    </row>
    <row r="205" spans="1:16" x14ac:dyDescent="0.25">
      <c r="A205" s="1" t="s">
        <v>380</v>
      </c>
      <c r="J205" s="58" t="str">
        <f ca="1">INDIRECT("A"&amp;MATCH("Orai Kaune",A:A,0)+ROW()-56)</f>
        <v>3.11</v>
      </c>
      <c r="M205" s="163" t="e">
        <f ca="1">VLOOKUP(J205,Atitikmenys!A:C,2,0)</f>
        <v>#N/A</v>
      </c>
      <c r="N205" s="19" t="e">
        <f ca="1">VLOOKUP(J205,Atitikmenys!A:C,3,0)</f>
        <v>#N/A</v>
      </c>
      <c r="O205" s="131">
        <f>VLOOKUP(L205,Atitikmenys!C:D,2,0)</f>
        <v>0</v>
      </c>
      <c r="P205" s="132" t="e">
        <f>VLOOKUP(K205,Atitikmenys!A:C,2,0)</f>
        <v>#N/A</v>
      </c>
    </row>
    <row r="206" spans="1:16" x14ac:dyDescent="0.25">
      <c r="A206" s="1" t="s">
        <v>381</v>
      </c>
      <c r="D206" t="s">
        <v>25</v>
      </c>
      <c r="E206" t="s">
        <v>26</v>
      </c>
      <c r="F206" t="s">
        <v>207</v>
      </c>
      <c r="G206" t="s">
        <v>27</v>
      </c>
      <c r="H206" t="s">
        <v>28</v>
      </c>
      <c r="J206" s="58" t="str">
        <f ca="1">INDIRECT("A"&amp;MATCH("Orai Kaune",A:A,0)+ROW()-56)</f>
        <v>Pn, 3 lapkričio</v>
      </c>
      <c r="L206" s="161" t="str">
        <f t="shared" ref="L206:L213" ca="1" si="11">INDIRECT("F"&amp;MATCH("Orai Kaune",A:A,0)+ROW()-55)</f>
        <v>V</v>
      </c>
      <c r="M206" s="163" t="e">
        <f ca="1">VLOOKUP(J206,Atitikmenys!A:C,2,0)</f>
        <v>#N/A</v>
      </c>
      <c r="N206" s="19" t="e">
        <f ca="1">VLOOKUP(J206,Atitikmenys!A:C,3,0)</f>
        <v>#N/A</v>
      </c>
      <c r="O206" s="130" t="str">
        <f ca="1">VLOOKUP(L206,Atitikmenys!A:B,2,0)</f>
        <v>Ú</v>
      </c>
      <c r="P206" s="132" t="e">
        <f>VLOOKUP(K206,Atitikmenys!A:C,2,0)</f>
        <v>#N/A</v>
      </c>
    </row>
    <row r="207" spans="1:16" x14ac:dyDescent="0.25">
      <c r="A207" s="128" t="s">
        <v>205</v>
      </c>
      <c r="B207" t="s">
        <v>20</v>
      </c>
      <c r="C207" t="s">
        <v>20</v>
      </c>
      <c r="D207">
        <f>2+36</f>
        <v>38</v>
      </c>
      <c r="E207">
        <v>770301027</v>
      </c>
      <c r="F207" t="s">
        <v>45</v>
      </c>
      <c r="G207">
        <v>97</v>
      </c>
      <c r="H207">
        <f>1+34</f>
        <v>35</v>
      </c>
      <c r="J207" s="161" t="str">
        <f ca="1">INDIRECT("B"&amp;MATCH("Orai Kaune",A:A,0)+ROW()-56)</f>
        <v>Didelis debesuotumas</v>
      </c>
      <c r="K207" s="161">
        <f ca="1">INDIRECT("D"&amp;MATCH("Orai Kaune",A:A,0)+ROW()-56)</f>
        <v>38</v>
      </c>
      <c r="L207" s="161">
        <f t="shared" ca="1" si="11"/>
        <v>247</v>
      </c>
      <c r="M207" s="163" t="str">
        <f ca="1">VLOOKUP(J207,Atitikmenys!A:C,2,0)</f>
        <v>ÙÙ</v>
      </c>
      <c r="N207" s="19" t="str">
        <f ca="1">VLOOKUP(J207,Atitikmenys!A:C,3,0)</f>
        <v xml:space="preserve"> </v>
      </c>
      <c r="O207" s="131">
        <f ca="1">VLOOKUP(L207,Atitikmenys!C:D,2,0)</f>
        <v>2</v>
      </c>
      <c r="P207" s="132">
        <f ca="1">VLOOKUP(K207,Atitikmenys!A:C,2,0)</f>
        <v>2</v>
      </c>
    </row>
    <row r="208" spans="1:16" x14ac:dyDescent="0.25">
      <c r="A208" s="133"/>
      <c r="F208">
        <v>247</v>
      </c>
      <c r="J208" s="161"/>
      <c r="K208" s="161"/>
      <c r="L208" s="161" t="str">
        <f t="shared" ca="1" si="11"/>
        <v>V</v>
      </c>
      <c r="M208" s="163" t="e">
        <f>VLOOKUP(J208,Atitikmenys!A:C,2,0)</f>
        <v>#N/A</v>
      </c>
      <c r="N208" s="19" t="e">
        <f>VLOOKUP(J208,Atitikmenys!A:C,3,0)</f>
        <v>#N/A</v>
      </c>
      <c r="O208" s="130" t="str">
        <f ca="1">VLOOKUP(L208,Atitikmenys!A:B,2,0)</f>
        <v>Ú</v>
      </c>
      <c r="P208" s="132" t="e">
        <f>VLOOKUP(K208,Atitikmenys!A:C,2,0)</f>
        <v>#N/A</v>
      </c>
    </row>
    <row r="209" spans="1:16" x14ac:dyDescent="0.25">
      <c r="A209" s="128" t="s">
        <v>208</v>
      </c>
      <c r="B209" t="s">
        <v>36</v>
      </c>
      <c r="C209" t="s">
        <v>36</v>
      </c>
      <c r="D209">
        <f>3+37</f>
        <v>40</v>
      </c>
      <c r="E209">
        <v>772301029</v>
      </c>
      <c r="F209" t="s">
        <v>45</v>
      </c>
      <c r="G209">
        <v>92</v>
      </c>
      <c r="H209">
        <f>3+37</f>
        <v>40</v>
      </c>
      <c r="J209" s="161" t="str">
        <f ca="1">INDIRECT("B"&amp;MATCH("Orai Kaune",A:A,0)+ROW()-56)</f>
        <v>Didelis debesuotumas, nedidelis lietus</v>
      </c>
      <c r="K209" s="161">
        <f ca="1">INDIRECT("D"&amp;MATCH("Orai Kaune",A:A,0)+ROW()-56)</f>
        <v>40</v>
      </c>
      <c r="L209" s="161">
        <f t="shared" ca="1" si="11"/>
        <v>247</v>
      </c>
      <c r="M209" s="163" t="str">
        <f ca="1">VLOOKUP(J209,Atitikmenys!A:C,2,0)</f>
        <v>ÙÙ</v>
      </c>
      <c r="N209" s="19" t="str">
        <f ca="1">VLOOKUP(J209,Atitikmenys!A:C,3,0)</f>
        <v>S</v>
      </c>
      <c r="O209" s="131">
        <f ca="1">VLOOKUP(L209,Atitikmenys!C:D,2,0)</f>
        <v>2</v>
      </c>
      <c r="P209" s="132">
        <f ca="1">VLOOKUP(K209,Atitikmenys!A:C,2,0)</f>
        <v>3</v>
      </c>
    </row>
    <row r="210" spans="1:16" x14ac:dyDescent="0.25">
      <c r="A210" s="133"/>
      <c r="F210">
        <v>247</v>
      </c>
      <c r="J210" s="161"/>
      <c r="K210" s="161"/>
      <c r="L210" s="161" t="str">
        <f t="shared" ca="1" si="11"/>
        <v>PV</v>
      </c>
      <c r="M210" s="163" t="e">
        <f>VLOOKUP(J210,Atitikmenys!A:C,2,0)</f>
        <v>#N/A</v>
      </c>
      <c r="N210" s="19" t="e">
        <f>VLOOKUP(J210,Atitikmenys!A:C,3,0)</f>
        <v>#N/A</v>
      </c>
      <c r="O210" s="130" t="str">
        <f ca="1">VLOOKUP(L210,Atitikmenys!A:B,2,0)</f>
        <v>Þ</v>
      </c>
      <c r="P210" s="132" t="e">
        <f>VLOOKUP(K210,Atitikmenys!A:C,2,0)</f>
        <v>#N/A</v>
      </c>
    </row>
    <row r="211" spans="1:16" x14ac:dyDescent="0.25">
      <c r="A211" s="128" t="s">
        <v>206</v>
      </c>
      <c r="B211" t="s">
        <v>29</v>
      </c>
      <c r="C211" t="s">
        <v>29</v>
      </c>
      <c r="D211">
        <f>7+45</f>
        <v>52</v>
      </c>
      <c r="E211">
        <v>773301031</v>
      </c>
      <c r="F211" t="s">
        <v>43</v>
      </c>
      <c r="G211">
        <v>64</v>
      </c>
      <c r="H211">
        <f>6+43</f>
        <v>49</v>
      </c>
      <c r="J211" s="161" t="str">
        <f ca="1">INDIRECT("B"&amp;MATCH("Orai Kaune",A:A,0)+ROW()-56)</f>
        <v>Giedra</v>
      </c>
      <c r="K211" s="161">
        <f ca="1">INDIRECT("D"&amp;MATCH("Orai Kaune",A:A,0)+ROW()-56)</f>
        <v>52</v>
      </c>
      <c r="L211" s="161">
        <f t="shared" ca="1" si="11"/>
        <v>3711</v>
      </c>
      <c r="M211" s="163" t="str">
        <f ca="1">VLOOKUP(J211,Atitikmenys!A:C,2,0)</f>
        <v>Õ</v>
      </c>
      <c r="N211" s="19" t="str">
        <f ca="1">VLOOKUP(J211,Atitikmenys!A:C,3,0)</f>
        <v xml:space="preserve"> </v>
      </c>
      <c r="O211" s="131">
        <f ca="1">VLOOKUP(L211,Atitikmenys!C:D,2,0)</f>
        <v>3</v>
      </c>
      <c r="P211" s="132">
        <f ca="1">VLOOKUP(K211,Atitikmenys!A:C,2,0)</f>
        <v>7</v>
      </c>
    </row>
    <row r="212" spans="1:16" x14ac:dyDescent="0.25">
      <c r="A212" s="133"/>
      <c r="F212">
        <v>3711</v>
      </c>
      <c r="J212" s="161"/>
      <c r="K212" s="161"/>
      <c r="L212" s="161" t="str">
        <f t="shared" ca="1" si="11"/>
        <v>PV</v>
      </c>
      <c r="M212" s="163" t="e">
        <f>VLOOKUP(J212,Atitikmenys!A:C,2,0)</f>
        <v>#N/A</v>
      </c>
      <c r="N212" s="19" t="e">
        <f>VLOOKUP(J212,Atitikmenys!A:C,3,0)</f>
        <v>#N/A</v>
      </c>
      <c r="O212" s="130" t="str">
        <f ca="1">VLOOKUP(L212,Atitikmenys!A:B,2,0)</f>
        <v>Þ</v>
      </c>
      <c r="P212" s="132" t="e">
        <f>VLOOKUP(K212,Atitikmenys!A:C,2,0)</f>
        <v>#N/A</v>
      </c>
    </row>
    <row r="213" spans="1:16" x14ac:dyDescent="0.25">
      <c r="A213" s="128" t="s">
        <v>209</v>
      </c>
      <c r="B213" t="s">
        <v>29</v>
      </c>
      <c r="C213" t="s">
        <v>29</v>
      </c>
      <c r="D213">
        <f>1+34</f>
        <v>35</v>
      </c>
      <c r="E213">
        <v>775311033</v>
      </c>
      <c r="F213" t="s">
        <v>43</v>
      </c>
      <c r="G213">
        <v>89</v>
      </c>
      <c r="H213">
        <f>1+34</f>
        <v>35</v>
      </c>
      <c r="J213" s="161" t="str">
        <f ca="1">INDIRECT("B"&amp;MATCH("Orai Kaune",A:A,0)+ROW()-56)</f>
        <v>Giedra</v>
      </c>
      <c r="K213" s="161">
        <f ca="1">INDIRECT("D"&amp;MATCH("Orai Kaune",A:A,0)+ROW()-56)</f>
        <v>35</v>
      </c>
      <c r="L213" s="161">
        <f t="shared" ca="1" si="11"/>
        <v>247</v>
      </c>
      <c r="M213" s="163" t="str">
        <f ca="1">VLOOKUP(J213,Atitikmenys!A:C,2,0)</f>
        <v>Õ</v>
      </c>
      <c r="N213" s="19" t="str">
        <f ca="1">VLOOKUP(J213,Atitikmenys!A:C,3,0)</f>
        <v xml:space="preserve"> </v>
      </c>
      <c r="O213" s="131">
        <f ca="1">VLOOKUP(L213,Atitikmenys!C:D,2,0)</f>
        <v>2</v>
      </c>
      <c r="P213" s="132">
        <f ca="1">VLOOKUP(K213,Atitikmenys!A:C,2,0)</f>
        <v>1</v>
      </c>
    </row>
    <row r="214" spans="1:16" x14ac:dyDescent="0.25">
      <c r="A214" s="133"/>
      <c r="F214">
        <v>247</v>
      </c>
      <c r="J214" s="161"/>
      <c r="K214" s="161"/>
      <c r="L214" s="38"/>
      <c r="M214" s="163" t="e">
        <f>VLOOKUP(J214,Atitikmenys!A:C,2,0)</f>
        <v>#N/A</v>
      </c>
      <c r="N214" s="19" t="e">
        <f>VLOOKUP(J214,Atitikmenys!A:C,3,0)</f>
        <v>#N/A</v>
      </c>
      <c r="O214" s="130" t="e">
        <f>VLOOKUP(L214,Atitikmenys!A:B,2,0)</f>
        <v>#N/A</v>
      </c>
      <c r="P214" s="132" t="e">
        <f>VLOOKUP(K214,Atitikmenys!A:C,2,0)</f>
        <v>#N/A</v>
      </c>
    </row>
    <row r="215" spans="1:16" x14ac:dyDescent="0.25">
      <c r="A215" s="1" t="s">
        <v>205</v>
      </c>
      <c r="J215" s="47" t="s">
        <v>103</v>
      </c>
      <c r="K215" s="47" t="s">
        <v>105</v>
      </c>
      <c r="L215" s="47" t="s">
        <v>104</v>
      </c>
      <c r="M215" s="162" t="s">
        <v>110</v>
      </c>
      <c r="N215" s="162" t="s">
        <v>111</v>
      </c>
      <c r="O215" s="162" t="s">
        <v>104</v>
      </c>
      <c r="P215" s="162" t="s">
        <v>105</v>
      </c>
    </row>
    <row r="216" spans="1:16" x14ac:dyDescent="0.25">
      <c r="A216" s="1" t="s">
        <v>206</v>
      </c>
      <c r="J216" s="58"/>
      <c r="M216" s="163" t="e">
        <f>VLOOKUP(J216,Atitikmenys!A:C,2,0)</f>
        <v>#N/A</v>
      </c>
      <c r="N216" s="19" t="e">
        <f>VLOOKUP(J216,Atitikmenys!A:C,3,0)</f>
        <v>#N/A</v>
      </c>
      <c r="O216" s="131">
        <f>VLOOKUP(L216,Atitikmenys!C:D,2,0)</f>
        <v>0</v>
      </c>
      <c r="P216" s="132" t="e">
        <f>VLOOKUP(K216,Atitikmenys!A:C,2,0)</f>
        <v>#N/A</v>
      </c>
    </row>
    <row r="217" spans="1:16" x14ac:dyDescent="0.25">
      <c r="A217" s="1" t="s">
        <v>23</v>
      </c>
      <c r="B217" t="s">
        <v>29</v>
      </c>
      <c r="C217" t="s">
        <v>29</v>
      </c>
      <c r="D217" t="s">
        <v>319</v>
      </c>
      <c r="E217" t="s">
        <v>20</v>
      </c>
      <c r="F217" t="s">
        <v>20</v>
      </c>
      <c r="G217">
        <f>7+45</f>
        <v>52</v>
      </c>
      <c r="J217" s="58" t="str">
        <f ca="1">INDIRECT("A"&amp;MATCH("Orai Kaune",A:A,0)+ROW()-56)</f>
        <v>Št</v>
      </c>
      <c r="M217" s="163" t="str">
        <f ca="1">VLOOKUP(J217,Atitikmenys!A:C,2,0)</f>
        <v>­</v>
      </c>
      <c r="N217" s="19" t="str">
        <f ca="1">VLOOKUP(J217,Atitikmenys!A:C,3,0)</f>
        <v>štilis</v>
      </c>
      <c r="O217" s="130" t="e">
        <f>VLOOKUP(L217,Atitikmenys!A:B,2,0)</f>
        <v>#N/A</v>
      </c>
      <c r="P217" s="132" t="e">
        <f>VLOOKUP(K217,Atitikmenys!A:C,2,0)</f>
        <v>#N/A</v>
      </c>
    </row>
    <row r="218" spans="1:16" x14ac:dyDescent="0.25">
      <c r="A218" s="1" t="s">
        <v>382</v>
      </c>
      <c r="J218" s="58" t="str">
        <f ca="1">INDIRECT("A"&amp;MATCH("Orai Kaune",A:A,0)+ROW()-56)</f>
        <v>4.11</v>
      </c>
      <c r="M218" s="163" t="e">
        <f ca="1">VLOOKUP(J218,Atitikmenys!A:C,2,0)</f>
        <v>#N/A</v>
      </c>
      <c r="N218" s="19" t="e">
        <f ca="1">VLOOKUP(J218,Atitikmenys!A:C,3,0)</f>
        <v>#N/A</v>
      </c>
      <c r="O218" s="131">
        <f>VLOOKUP(L218,Atitikmenys!C:D,2,0)</f>
        <v>0</v>
      </c>
      <c r="P218" s="132" t="e">
        <f>VLOOKUP(K218,Atitikmenys!A:C,2,0)</f>
        <v>#N/A</v>
      </c>
    </row>
    <row r="219" spans="1:16" x14ac:dyDescent="0.25">
      <c r="A219" s="1" t="s">
        <v>383</v>
      </c>
      <c r="D219" t="s">
        <v>25</v>
      </c>
      <c r="E219" t="s">
        <v>26</v>
      </c>
      <c r="F219" t="s">
        <v>207</v>
      </c>
      <c r="G219" t="s">
        <v>27</v>
      </c>
      <c r="H219" t="s">
        <v>28</v>
      </c>
      <c r="J219" s="58" t="str">
        <f ca="1">INDIRECT("A"&amp;MATCH("Orai Kaune",A:A,0)+ROW()-56)</f>
        <v>Št, 4 lapkričio</v>
      </c>
      <c r="L219" s="161" t="str">
        <f t="shared" ref="L219:L226" ca="1" si="12">INDIRECT("F"&amp;MATCH("Orai Kaune",A:A,0)+ROW()-55)</f>
        <v>PV</v>
      </c>
      <c r="M219" s="163" t="e">
        <f ca="1">VLOOKUP(J219,Atitikmenys!A:C,2,0)</f>
        <v>#N/A</v>
      </c>
      <c r="N219" s="19" t="e">
        <f ca="1">VLOOKUP(J219,Atitikmenys!A:C,3,0)</f>
        <v>#N/A</v>
      </c>
      <c r="O219" s="130" t="str">
        <f ca="1">VLOOKUP(L219,Atitikmenys!A:B,2,0)</f>
        <v>Þ</v>
      </c>
      <c r="P219" s="132" t="e">
        <f>VLOOKUP(K219,Atitikmenys!A:C,2,0)</f>
        <v>#N/A</v>
      </c>
    </row>
    <row r="220" spans="1:16" x14ac:dyDescent="0.25">
      <c r="A220" s="128" t="s">
        <v>205</v>
      </c>
      <c r="B220" t="s">
        <v>29</v>
      </c>
      <c r="C220" t="s">
        <v>29</v>
      </c>
      <c r="D220" t="s">
        <v>319</v>
      </c>
      <c r="E220">
        <v>776311035</v>
      </c>
      <c r="F220" t="s">
        <v>43</v>
      </c>
      <c r="G220">
        <v>91</v>
      </c>
      <c r="H220" t="s">
        <v>384</v>
      </c>
      <c r="J220" s="161" t="str">
        <f ca="1">INDIRECT("B"&amp;MATCH("Orai Kaune",A:A,0)+ROW()-56)</f>
        <v>Giedra</v>
      </c>
      <c r="K220" s="161" t="str">
        <f ca="1">INDIRECT("D"&amp;MATCH("Orai Kaune",A:A,0)+ROW()-56)</f>
        <v>0−</v>
      </c>
      <c r="L220" s="161">
        <f t="shared" ca="1" si="12"/>
        <v>3711</v>
      </c>
      <c r="M220" s="163" t="str">
        <f ca="1">VLOOKUP(J220,Atitikmenys!A:C,2,0)</f>
        <v>Õ</v>
      </c>
      <c r="N220" s="19" t="str">
        <f ca="1">VLOOKUP(J220,Atitikmenys!A:C,3,0)</f>
        <v xml:space="preserve"> </v>
      </c>
      <c r="O220" s="131">
        <f ca="1">VLOOKUP(L220,Atitikmenys!C:D,2,0)</f>
        <v>3</v>
      </c>
      <c r="P220" s="132">
        <f ca="1">VLOOKUP(K220,Atitikmenys!A:C,2,0)</f>
        <v>0</v>
      </c>
    </row>
    <row r="221" spans="1:16" x14ac:dyDescent="0.25">
      <c r="A221" s="133"/>
      <c r="F221">
        <v>3711</v>
      </c>
      <c r="J221" s="161"/>
      <c r="K221" s="161"/>
      <c r="L221" s="161" t="str">
        <f t="shared" ca="1" si="12"/>
        <v>PV</v>
      </c>
      <c r="M221" s="163" t="e">
        <f>VLOOKUP(J221,Atitikmenys!A:C,2,0)</f>
        <v>#N/A</v>
      </c>
      <c r="N221" s="19" t="e">
        <f>VLOOKUP(J221,Atitikmenys!A:C,3,0)</f>
        <v>#N/A</v>
      </c>
      <c r="O221" s="130" t="str">
        <f ca="1">VLOOKUP(L221,Atitikmenys!A:B,2,0)</f>
        <v>Þ</v>
      </c>
      <c r="P221" s="132" t="e">
        <f>VLOOKUP(K221,Atitikmenys!A:C,2,0)</f>
        <v>#N/A</v>
      </c>
    </row>
    <row r="222" spans="1:16" x14ac:dyDescent="0.25">
      <c r="A222" s="128" t="s">
        <v>208</v>
      </c>
      <c r="B222" t="s">
        <v>20</v>
      </c>
      <c r="C222" t="s">
        <v>20</v>
      </c>
      <c r="D222">
        <f>1+34</f>
        <v>35</v>
      </c>
      <c r="E222">
        <v>776311035</v>
      </c>
      <c r="F222" t="s">
        <v>43</v>
      </c>
      <c r="G222">
        <v>84</v>
      </c>
      <c r="H222" t="s">
        <v>384</v>
      </c>
      <c r="J222" s="161" t="str">
        <f ca="1">INDIRECT("B"&amp;MATCH("Orai Kaune",A:A,0)+ROW()-56)</f>
        <v>Didelis debesuotumas</v>
      </c>
      <c r="K222" s="161">
        <f ca="1">INDIRECT("D"&amp;MATCH("Orai Kaune",A:A,0)+ROW()-56)</f>
        <v>35</v>
      </c>
      <c r="L222" s="161">
        <f t="shared" ca="1" si="12"/>
        <v>4914</v>
      </c>
      <c r="M222" s="163" t="str">
        <f ca="1">VLOOKUP(J222,Atitikmenys!A:C,2,0)</f>
        <v>ÙÙ</v>
      </c>
      <c r="N222" s="19" t="str">
        <f ca="1">VLOOKUP(J222,Atitikmenys!A:C,3,0)</f>
        <v xml:space="preserve"> </v>
      </c>
      <c r="O222" s="131">
        <f ca="1">VLOOKUP(L222,Atitikmenys!C:D,2,0)</f>
        <v>4</v>
      </c>
      <c r="P222" s="132">
        <f ca="1">VLOOKUP(K222,Atitikmenys!A:C,2,0)</f>
        <v>1</v>
      </c>
    </row>
    <row r="223" spans="1:16" x14ac:dyDescent="0.25">
      <c r="A223" s="133"/>
      <c r="F223">
        <v>4914</v>
      </c>
      <c r="J223" s="161"/>
      <c r="K223" s="161"/>
      <c r="L223" s="161" t="str">
        <f t="shared" ca="1" si="12"/>
        <v>PV</v>
      </c>
      <c r="M223" s="163" t="e">
        <f>VLOOKUP(J223,Atitikmenys!A:C,2,0)</f>
        <v>#N/A</v>
      </c>
      <c r="N223" s="19" t="e">
        <f>VLOOKUP(J223,Atitikmenys!A:C,3,0)</f>
        <v>#N/A</v>
      </c>
      <c r="O223" s="130" t="str">
        <f ca="1">VLOOKUP(L223,Atitikmenys!A:B,2,0)</f>
        <v>Þ</v>
      </c>
      <c r="P223" s="132" t="e">
        <f>VLOOKUP(K223,Atitikmenys!A:C,2,0)</f>
        <v>#N/A</v>
      </c>
    </row>
    <row r="224" spans="1:16" x14ac:dyDescent="0.25">
      <c r="A224" s="128" t="s">
        <v>206</v>
      </c>
      <c r="B224" t="s">
        <v>20</v>
      </c>
      <c r="C224" t="s">
        <v>20</v>
      </c>
      <c r="D224">
        <f>7+45</f>
        <v>52</v>
      </c>
      <c r="E224">
        <v>776311035</v>
      </c>
      <c r="F224" t="s">
        <v>43</v>
      </c>
      <c r="G224">
        <v>65</v>
      </c>
      <c r="H224">
        <f>5+41</f>
        <v>46</v>
      </c>
      <c r="J224" s="161" t="str">
        <f ca="1">INDIRECT("B"&amp;MATCH("Orai Kaune",A:A,0)+ROW()-56)</f>
        <v>Didelis debesuotumas</v>
      </c>
      <c r="K224" s="161">
        <f ca="1">INDIRECT("D"&amp;MATCH("Orai Kaune",A:A,0)+ROW()-56)</f>
        <v>52</v>
      </c>
      <c r="L224" s="161">
        <f t="shared" ca="1" si="12"/>
        <v>51118</v>
      </c>
      <c r="M224" s="163" t="str">
        <f ca="1">VLOOKUP(J224,Atitikmenys!A:C,2,0)</f>
        <v>ÙÙ</v>
      </c>
      <c r="N224" s="19" t="str">
        <f ca="1">VLOOKUP(J224,Atitikmenys!A:C,3,0)</f>
        <v xml:space="preserve"> </v>
      </c>
      <c r="O224" s="131">
        <f ca="1">VLOOKUP(L224,Atitikmenys!C:D,2,0)</f>
        <v>5</v>
      </c>
      <c r="P224" s="132">
        <f ca="1">VLOOKUP(K224,Atitikmenys!A:C,2,0)</f>
        <v>7</v>
      </c>
    </row>
    <row r="225" spans="1:16" x14ac:dyDescent="0.25">
      <c r="A225" s="133"/>
      <c r="F225">
        <v>51118</v>
      </c>
      <c r="J225" s="161"/>
      <c r="K225" s="161"/>
      <c r="L225" s="161" t="str">
        <f t="shared" ca="1" si="12"/>
        <v>PV</v>
      </c>
      <c r="M225" s="163" t="e">
        <f>VLOOKUP(J225,Atitikmenys!A:C,2,0)</f>
        <v>#N/A</v>
      </c>
      <c r="N225" s="19" t="e">
        <f>VLOOKUP(J225,Atitikmenys!A:C,3,0)</f>
        <v>#N/A</v>
      </c>
      <c r="O225" s="130" t="str">
        <f ca="1">VLOOKUP(L225,Atitikmenys!A:B,2,0)</f>
        <v>Þ</v>
      </c>
      <c r="P225" s="132" t="e">
        <f>VLOOKUP(K225,Atitikmenys!A:C,2,0)</f>
        <v>#N/A</v>
      </c>
    </row>
    <row r="226" spans="1:16" x14ac:dyDescent="0.25">
      <c r="A226" s="128" t="s">
        <v>209</v>
      </c>
      <c r="B226" t="s">
        <v>24</v>
      </c>
      <c r="C226" t="s">
        <v>24</v>
      </c>
      <c r="D226">
        <f>4+39</f>
        <v>43</v>
      </c>
      <c r="E226">
        <v>775311033</v>
      </c>
      <c r="F226" t="s">
        <v>43</v>
      </c>
      <c r="G226">
        <v>74</v>
      </c>
      <c r="H226">
        <f>2+36</f>
        <v>38</v>
      </c>
      <c r="J226" s="161" t="str">
        <f ca="1">INDIRECT("B"&amp;MATCH("Orai Kaune",A:A,0)+ROW()-56)</f>
        <v>Debesuota</v>
      </c>
      <c r="K226" s="161">
        <f ca="1">INDIRECT("D"&amp;MATCH("Orai Kaune",A:A,0)+ROW()-56)</f>
        <v>43</v>
      </c>
      <c r="L226" s="161">
        <f t="shared" ca="1" si="12"/>
        <v>4914</v>
      </c>
      <c r="M226" s="163" t="str">
        <f ca="1">VLOOKUP(J226,Atitikmenys!A:C,2,0)</f>
        <v>Ù</v>
      </c>
      <c r="N226" s="19" t="str">
        <f ca="1">VLOOKUP(J226,Atitikmenys!A:C,3,0)</f>
        <v xml:space="preserve"> </v>
      </c>
      <c r="O226" s="131">
        <f ca="1">VLOOKUP(L226,Atitikmenys!C:D,2,0)</f>
        <v>4</v>
      </c>
      <c r="P226" s="132">
        <f ca="1">VLOOKUP(K226,Atitikmenys!A:C,2,0)</f>
        <v>4</v>
      </c>
    </row>
    <row r="227" spans="1:16" x14ac:dyDescent="0.25">
      <c r="A227" s="133"/>
      <c r="F227">
        <v>4914</v>
      </c>
      <c r="J227" s="161"/>
      <c r="K227" s="161"/>
      <c r="L227" s="38"/>
      <c r="M227" s="163" t="e">
        <f>VLOOKUP(J227,Atitikmenys!A:C,2,0)</f>
        <v>#N/A</v>
      </c>
      <c r="N227" s="19" t="e">
        <f>VLOOKUP(J227,Atitikmenys!A:C,3,0)</f>
        <v>#N/A</v>
      </c>
      <c r="O227" s="130" t="e">
        <f>VLOOKUP(L227,Atitikmenys!A:B,2,0)</f>
        <v>#N/A</v>
      </c>
      <c r="P227" s="132" t="e">
        <f>VLOOKUP(K227,Atitikmenys!A:C,2,0)</f>
        <v>#N/A</v>
      </c>
    </row>
    <row r="228" spans="1:16" x14ac:dyDescent="0.25">
      <c r="A228" s="1" t="s">
        <v>205</v>
      </c>
      <c r="J228" s="47" t="s">
        <v>103</v>
      </c>
      <c r="K228" s="47" t="s">
        <v>105</v>
      </c>
      <c r="L228" s="47" t="s">
        <v>104</v>
      </c>
      <c r="M228" s="162" t="s">
        <v>110</v>
      </c>
      <c r="N228" s="162" t="s">
        <v>111</v>
      </c>
      <c r="O228" s="162" t="s">
        <v>104</v>
      </c>
      <c r="P228" s="162" t="s">
        <v>105</v>
      </c>
    </row>
    <row r="229" spans="1:16" x14ac:dyDescent="0.25">
      <c r="A229" s="1" t="s">
        <v>206</v>
      </c>
      <c r="J229" s="58"/>
      <c r="M229" s="163" t="e">
        <f>VLOOKUP(J229,Atitikmenys!A:C,2,0)</f>
        <v>#N/A</v>
      </c>
      <c r="N229" s="19" t="e">
        <f>VLOOKUP(J229,Atitikmenys!A:C,3,0)</f>
        <v>#N/A</v>
      </c>
      <c r="O229" s="131">
        <f>VLOOKUP(L229,Atitikmenys!C:D,2,0)</f>
        <v>0</v>
      </c>
      <c r="P229" s="132" t="e">
        <f>VLOOKUP(K229,Atitikmenys!A:C,2,0)</f>
        <v>#N/A</v>
      </c>
    </row>
    <row r="230" spans="1:16" x14ac:dyDescent="0.25">
      <c r="A230" s="1" t="s">
        <v>31</v>
      </c>
      <c r="B230" t="s">
        <v>20</v>
      </c>
      <c r="C230" t="s">
        <v>20</v>
      </c>
      <c r="D230">
        <f>3+37</f>
        <v>40</v>
      </c>
      <c r="E230" t="s">
        <v>24</v>
      </c>
      <c r="F230" t="s">
        <v>24</v>
      </c>
      <c r="G230">
        <f>8+46</f>
        <v>54</v>
      </c>
      <c r="J230" s="58" t="str">
        <f ca="1">INDIRECT("A"&amp;MATCH("Orai Kaune",A:A,0)+ROW()-56)</f>
        <v>Sk</v>
      </c>
      <c r="M230" s="163" t="e">
        <f ca="1">VLOOKUP(J230,Atitikmenys!A:C,2,0)</f>
        <v>#N/A</v>
      </c>
      <c r="N230" s="19" t="e">
        <f ca="1">VLOOKUP(J230,Atitikmenys!A:C,3,0)</f>
        <v>#N/A</v>
      </c>
      <c r="O230" s="130" t="e">
        <f>VLOOKUP(L230,Atitikmenys!A:B,2,0)</f>
        <v>#N/A</v>
      </c>
      <c r="P230" s="132" t="e">
        <f>VLOOKUP(K230,Atitikmenys!A:C,2,0)</f>
        <v>#N/A</v>
      </c>
    </row>
    <row r="231" spans="1:16" x14ac:dyDescent="0.25">
      <c r="A231" s="1" t="s">
        <v>385</v>
      </c>
      <c r="J231" s="58" t="str">
        <f ca="1">INDIRECT("A"&amp;MATCH("Orai Kaune",A:A,0)+ROW()-56)</f>
        <v>5.11</v>
      </c>
      <c r="M231" s="163" t="e">
        <f ca="1">VLOOKUP(J231,Atitikmenys!A:C,2,0)</f>
        <v>#N/A</v>
      </c>
      <c r="N231" s="19" t="e">
        <f ca="1">VLOOKUP(J231,Atitikmenys!A:C,3,0)</f>
        <v>#N/A</v>
      </c>
      <c r="O231" s="131">
        <f>VLOOKUP(L231,Atitikmenys!C:D,2,0)</f>
        <v>0</v>
      </c>
      <c r="P231" s="132" t="e">
        <f>VLOOKUP(K231,Atitikmenys!A:C,2,0)</f>
        <v>#N/A</v>
      </c>
    </row>
    <row r="232" spans="1:16" x14ac:dyDescent="0.25">
      <c r="A232" s="1" t="s">
        <v>386</v>
      </c>
      <c r="D232" t="s">
        <v>25</v>
      </c>
      <c r="E232" t="s">
        <v>26</v>
      </c>
      <c r="F232" t="s">
        <v>207</v>
      </c>
      <c r="G232" t="s">
        <v>27</v>
      </c>
      <c r="H232" t="s">
        <v>28</v>
      </c>
      <c r="J232" s="58" t="str">
        <f ca="1">INDIRECT("A"&amp;MATCH("Orai Kaune",A:A,0)+ROW()-56)</f>
        <v>Sk, 5 lapkričio</v>
      </c>
      <c r="L232" s="161" t="str">
        <f t="shared" ref="L232:L239" ca="1" si="13">INDIRECT("F"&amp;MATCH("Orai Kaune",A:A,0)+ROW()-55)</f>
        <v>PV</v>
      </c>
      <c r="M232" s="163" t="e">
        <f ca="1">VLOOKUP(J232,Atitikmenys!A:C,2,0)</f>
        <v>#N/A</v>
      </c>
      <c r="N232" s="19" t="e">
        <f ca="1">VLOOKUP(J232,Atitikmenys!A:C,3,0)</f>
        <v>#N/A</v>
      </c>
      <c r="O232" s="130" t="str">
        <f ca="1">VLOOKUP(L232,Atitikmenys!A:B,2,0)</f>
        <v>Þ</v>
      </c>
      <c r="P232" s="132" t="e">
        <f>VLOOKUP(K232,Atitikmenys!A:C,2,0)</f>
        <v>#N/A</v>
      </c>
    </row>
    <row r="233" spans="1:16" x14ac:dyDescent="0.25">
      <c r="A233" s="128" t="s">
        <v>205</v>
      </c>
      <c r="B233" t="s">
        <v>20</v>
      </c>
      <c r="C233" t="s">
        <v>20</v>
      </c>
      <c r="D233">
        <f>3+37</f>
        <v>40</v>
      </c>
      <c r="E233">
        <v>774301032</v>
      </c>
      <c r="F233" t="s">
        <v>43</v>
      </c>
      <c r="G233">
        <v>78</v>
      </c>
      <c r="H233">
        <f>1+34</f>
        <v>35</v>
      </c>
      <c r="J233" s="161" t="str">
        <f ca="1">INDIRECT("B"&amp;MATCH("Orai Kaune",A:A,0)+ROW()-56)</f>
        <v>Didelis debesuotumas</v>
      </c>
      <c r="K233" s="161">
        <f ca="1">INDIRECT("D"&amp;MATCH("Orai Kaune",A:A,0)+ROW()-56)</f>
        <v>40</v>
      </c>
      <c r="L233" s="161">
        <f t="shared" ca="1" si="13"/>
        <v>4914</v>
      </c>
      <c r="M233" s="163" t="str">
        <f ca="1">VLOOKUP(J233,Atitikmenys!A:C,2,0)</f>
        <v>ÙÙ</v>
      </c>
      <c r="N233" s="19" t="str">
        <f ca="1">VLOOKUP(J233,Atitikmenys!A:C,3,0)</f>
        <v xml:space="preserve"> </v>
      </c>
      <c r="O233" s="131">
        <f ca="1">VLOOKUP(L233,Atitikmenys!C:D,2,0)</f>
        <v>4</v>
      </c>
      <c r="P233" s="132">
        <f ca="1">VLOOKUP(K233,Atitikmenys!A:C,2,0)</f>
        <v>3</v>
      </c>
    </row>
    <row r="234" spans="1:16" x14ac:dyDescent="0.25">
      <c r="A234" s="133"/>
      <c r="F234">
        <v>4914</v>
      </c>
      <c r="J234" s="161"/>
      <c r="K234" s="161"/>
      <c r="L234" s="161" t="str">
        <f t="shared" ca="1" si="13"/>
        <v>PV</v>
      </c>
      <c r="M234" s="163" t="e">
        <f>VLOOKUP(J234,Atitikmenys!A:C,2,0)</f>
        <v>#N/A</v>
      </c>
      <c r="N234" s="19" t="e">
        <f>VLOOKUP(J234,Atitikmenys!A:C,3,0)</f>
        <v>#N/A</v>
      </c>
      <c r="O234" s="130" t="str">
        <f ca="1">VLOOKUP(L234,Atitikmenys!A:B,2,0)</f>
        <v>Þ</v>
      </c>
      <c r="P234" s="132" t="e">
        <f>VLOOKUP(K234,Atitikmenys!A:C,2,0)</f>
        <v>#N/A</v>
      </c>
    </row>
    <row r="235" spans="1:16" x14ac:dyDescent="0.25">
      <c r="A235" s="128" t="s">
        <v>208</v>
      </c>
      <c r="B235" t="s">
        <v>20</v>
      </c>
      <c r="C235" t="s">
        <v>20</v>
      </c>
      <c r="D235">
        <f>3+37</f>
        <v>40</v>
      </c>
      <c r="E235">
        <v>772301029</v>
      </c>
      <c r="F235" t="s">
        <v>43</v>
      </c>
      <c r="G235">
        <v>80</v>
      </c>
      <c r="H235">
        <f>1+34</f>
        <v>35</v>
      </c>
      <c r="J235" s="161" t="str">
        <f ca="1">INDIRECT("B"&amp;MATCH("Orai Kaune",A:A,0)+ROW()-56)</f>
        <v>Didelis debesuotumas</v>
      </c>
      <c r="K235" s="161">
        <f ca="1">INDIRECT("D"&amp;MATCH("Orai Kaune",A:A,0)+ROW()-56)</f>
        <v>40</v>
      </c>
      <c r="L235" s="161">
        <f t="shared" ca="1" si="13"/>
        <v>3711</v>
      </c>
      <c r="M235" s="163" t="str">
        <f ca="1">VLOOKUP(J235,Atitikmenys!A:C,2,0)</f>
        <v>ÙÙ</v>
      </c>
      <c r="N235" s="19" t="str">
        <f ca="1">VLOOKUP(J235,Atitikmenys!A:C,3,0)</f>
        <v xml:space="preserve"> </v>
      </c>
      <c r="O235" s="131">
        <f ca="1">VLOOKUP(L235,Atitikmenys!C:D,2,0)</f>
        <v>3</v>
      </c>
      <c r="P235" s="132">
        <f ca="1">VLOOKUP(K235,Atitikmenys!A:C,2,0)</f>
        <v>3</v>
      </c>
    </row>
    <row r="236" spans="1:16" x14ac:dyDescent="0.25">
      <c r="A236" s="133"/>
      <c r="F236">
        <v>3711</v>
      </c>
      <c r="J236" s="161"/>
      <c r="K236" s="161"/>
      <c r="L236" s="161" t="str">
        <f t="shared" ca="1" si="13"/>
        <v>PV</v>
      </c>
      <c r="M236" s="163" t="e">
        <f>VLOOKUP(J236,Atitikmenys!A:C,2,0)</f>
        <v>#N/A</v>
      </c>
      <c r="N236" s="19" t="e">
        <f>VLOOKUP(J236,Atitikmenys!A:C,3,0)</f>
        <v>#N/A</v>
      </c>
      <c r="O236" s="130" t="str">
        <f ca="1">VLOOKUP(L236,Atitikmenys!A:B,2,0)</f>
        <v>Þ</v>
      </c>
      <c r="P236" s="132" t="e">
        <f>VLOOKUP(K236,Atitikmenys!A:C,2,0)</f>
        <v>#N/A</v>
      </c>
    </row>
    <row r="237" spans="1:16" x14ac:dyDescent="0.25">
      <c r="A237" s="128" t="s">
        <v>206</v>
      </c>
      <c r="B237" t="s">
        <v>24</v>
      </c>
      <c r="C237" t="s">
        <v>24</v>
      </c>
      <c r="D237">
        <f>8+46</f>
        <v>54</v>
      </c>
      <c r="E237">
        <v>771301028</v>
      </c>
      <c r="F237" t="s">
        <v>43</v>
      </c>
      <c r="G237">
        <v>75</v>
      </c>
      <c r="H237">
        <f>8+46</f>
        <v>54</v>
      </c>
      <c r="J237" s="161" t="str">
        <f ca="1">INDIRECT("B"&amp;MATCH("Orai Kaune",A:A,0)+ROW()-56)</f>
        <v>Debesuota</v>
      </c>
      <c r="K237" s="161">
        <f ca="1">INDIRECT("D"&amp;MATCH("Orai Kaune",A:A,0)+ROW()-56)</f>
        <v>54</v>
      </c>
      <c r="L237" s="161">
        <f t="shared" ca="1" si="13"/>
        <v>3711</v>
      </c>
      <c r="M237" s="163" t="str">
        <f ca="1">VLOOKUP(J237,Atitikmenys!A:C,2,0)</f>
        <v>Ù</v>
      </c>
      <c r="N237" s="19" t="str">
        <f ca="1">VLOOKUP(J237,Atitikmenys!A:C,3,0)</f>
        <v xml:space="preserve"> </v>
      </c>
      <c r="O237" s="131">
        <f ca="1">VLOOKUP(L237,Atitikmenys!C:D,2,0)</f>
        <v>3</v>
      </c>
      <c r="P237" s="132">
        <f ca="1">VLOOKUP(K237,Atitikmenys!A:C,2,0)</f>
        <v>8</v>
      </c>
    </row>
    <row r="238" spans="1:16" x14ac:dyDescent="0.25">
      <c r="A238" s="133"/>
      <c r="F238">
        <v>3711</v>
      </c>
      <c r="J238" s="161"/>
      <c r="K238" s="161"/>
      <c r="L238" s="161" t="str">
        <f t="shared" ca="1" si="13"/>
        <v>PV</v>
      </c>
      <c r="M238" s="163" t="e">
        <f>VLOOKUP(J238,Atitikmenys!A:C,2,0)</f>
        <v>#N/A</v>
      </c>
      <c r="N238" s="19" t="e">
        <f>VLOOKUP(J238,Atitikmenys!A:C,3,0)</f>
        <v>#N/A</v>
      </c>
      <c r="O238" s="130" t="str">
        <f ca="1">VLOOKUP(L238,Atitikmenys!A:B,2,0)</f>
        <v>Þ</v>
      </c>
      <c r="P238" s="132" t="e">
        <f>VLOOKUP(K238,Atitikmenys!A:C,2,0)</f>
        <v>#N/A</v>
      </c>
    </row>
    <row r="239" spans="1:16" x14ac:dyDescent="0.25">
      <c r="A239" s="128" t="s">
        <v>209</v>
      </c>
      <c r="B239" t="s">
        <v>20</v>
      </c>
      <c r="C239" t="s">
        <v>20</v>
      </c>
      <c r="D239">
        <f>7+45</f>
        <v>52</v>
      </c>
      <c r="E239">
        <v>770301027</v>
      </c>
      <c r="F239" t="s">
        <v>43</v>
      </c>
      <c r="G239">
        <v>87</v>
      </c>
      <c r="H239">
        <f>6+43</f>
        <v>49</v>
      </c>
      <c r="J239" s="161" t="str">
        <f ca="1">INDIRECT("B"&amp;MATCH("Orai Kaune",A:A,0)+ROW()-56)</f>
        <v>Didelis debesuotumas</v>
      </c>
      <c r="K239" s="161">
        <f ca="1">INDIRECT("D"&amp;MATCH("Orai Kaune",A:A,0)+ROW()-56)</f>
        <v>52</v>
      </c>
      <c r="L239" s="161">
        <f t="shared" ca="1" si="13"/>
        <v>4914</v>
      </c>
      <c r="M239" s="163" t="str">
        <f ca="1">VLOOKUP(J239,Atitikmenys!A:C,2,0)</f>
        <v>ÙÙ</v>
      </c>
      <c r="N239" s="19" t="str">
        <f ca="1">VLOOKUP(J239,Atitikmenys!A:C,3,0)</f>
        <v xml:space="preserve"> </v>
      </c>
      <c r="O239" s="131">
        <f ca="1">VLOOKUP(L239,Atitikmenys!C:D,2,0)</f>
        <v>4</v>
      </c>
      <c r="P239" s="132">
        <f ca="1">VLOOKUP(K239,Atitikmenys!A:C,2,0)</f>
        <v>7</v>
      </c>
    </row>
    <row r="240" spans="1:16" x14ac:dyDescent="0.25">
      <c r="A240" s="133"/>
      <c r="F240">
        <v>4914</v>
      </c>
      <c r="J240" s="161"/>
      <c r="K240" s="161"/>
      <c r="L240" s="38"/>
      <c r="M240" s="163" t="e">
        <f>VLOOKUP(J240,Atitikmenys!A:C,2,0)</f>
        <v>#N/A</v>
      </c>
      <c r="N240" s="19" t="e">
        <f>VLOOKUP(J240,Atitikmenys!A:C,3,0)</f>
        <v>#N/A</v>
      </c>
      <c r="O240" s="130" t="e">
        <f>VLOOKUP(L240,Atitikmenys!A:B,2,0)</f>
        <v>#N/A</v>
      </c>
      <c r="P240" s="132" t="e">
        <f>VLOOKUP(K240,Atitikmenys!A:C,2,0)</f>
        <v>#N/A</v>
      </c>
    </row>
    <row r="242" spans="1:1" x14ac:dyDescent="0.25">
      <c r="A242" t="s">
        <v>50</v>
      </c>
    </row>
    <row r="244" spans="1:1" x14ac:dyDescent="0.25">
      <c r="A244" t="s">
        <v>51</v>
      </c>
    </row>
    <row r="245" spans="1:1" x14ac:dyDescent="0.25">
      <c r="A245" t="s">
        <v>52</v>
      </c>
    </row>
    <row r="246" spans="1:1" x14ac:dyDescent="0.25">
      <c r="A246" t="s">
        <v>53</v>
      </c>
    </row>
    <row r="247" spans="1:1" x14ac:dyDescent="0.25">
      <c r="A247" t="s">
        <v>54</v>
      </c>
    </row>
    <row r="248" spans="1:1" x14ac:dyDescent="0.25">
      <c r="A248" t="s">
        <v>55</v>
      </c>
    </row>
    <row r="249" spans="1:1" x14ac:dyDescent="0.25">
      <c r="A249" t="s">
        <v>56</v>
      </c>
    </row>
    <row r="250" spans="1:1" x14ac:dyDescent="0.25">
      <c r="A250" t="s">
        <v>57</v>
      </c>
    </row>
    <row r="251" spans="1:1" x14ac:dyDescent="0.25">
      <c r="A251" t="s">
        <v>58</v>
      </c>
    </row>
    <row r="252" spans="1:1" x14ac:dyDescent="0.25">
      <c r="A252" t="s">
        <v>59</v>
      </c>
    </row>
    <row r="253" spans="1:1" x14ac:dyDescent="0.25">
      <c r="A253" t="s">
        <v>210</v>
      </c>
    </row>
    <row r="254" spans="1:1" x14ac:dyDescent="0.25">
      <c r="A254" t="s">
        <v>60</v>
      </c>
    </row>
    <row r="255" spans="1:1" x14ac:dyDescent="0.25">
      <c r="A255" t="s">
        <v>61</v>
      </c>
    </row>
    <row r="256" spans="1:1" x14ac:dyDescent="0.25">
      <c r="A256" t="s">
        <v>366</v>
      </c>
    </row>
    <row r="257" spans="1:1" x14ac:dyDescent="0.25">
      <c r="A257" t="s">
        <v>367</v>
      </c>
    </row>
    <row r="258" spans="1:1" x14ac:dyDescent="0.25">
      <c r="A258" t="s">
        <v>368</v>
      </c>
    </row>
    <row r="259" spans="1:1" x14ac:dyDescent="0.25">
      <c r="A259" t="s">
        <v>62</v>
      </c>
    </row>
    <row r="260" spans="1:1" x14ac:dyDescent="0.25">
      <c r="A260" t="s">
        <v>369</v>
      </c>
    </row>
    <row r="261" spans="1:1" x14ac:dyDescent="0.25">
      <c r="A261" t="s">
        <v>370</v>
      </c>
    </row>
    <row r="262" spans="1:1" x14ac:dyDescent="0.25">
      <c r="A262" t="s">
        <v>371</v>
      </c>
    </row>
    <row r="263" spans="1:1" x14ac:dyDescent="0.25">
      <c r="A263" t="s">
        <v>63</v>
      </c>
    </row>
    <row r="264" spans="1:1" x14ac:dyDescent="0.25">
      <c r="A264" t="s">
        <v>64</v>
      </c>
    </row>
    <row r="265" spans="1:1" x14ac:dyDescent="0.25">
      <c r="A265" t="s">
        <v>65</v>
      </c>
    </row>
    <row r="266" spans="1:1" x14ac:dyDescent="0.25">
      <c r="A266" t="s">
        <v>66</v>
      </c>
    </row>
    <row r="267" spans="1:1" x14ac:dyDescent="0.25">
      <c r="A267" t="s">
        <v>67</v>
      </c>
    </row>
    <row r="268" spans="1:1" x14ac:dyDescent="0.25">
      <c r="A268" t="s">
        <v>68</v>
      </c>
    </row>
    <row r="269" spans="1:1" x14ac:dyDescent="0.25">
      <c r="A269" t="s">
        <v>69</v>
      </c>
    </row>
    <row r="270" spans="1:1" x14ac:dyDescent="0.25">
      <c r="A270" t="s">
        <v>70</v>
      </c>
    </row>
    <row r="271" spans="1:1" x14ac:dyDescent="0.25">
      <c r="A271" t="s">
        <v>71</v>
      </c>
    </row>
    <row r="272" spans="1:1" x14ac:dyDescent="0.25">
      <c r="A272" t="s">
        <v>72</v>
      </c>
    </row>
    <row r="273" spans="1:1" x14ac:dyDescent="0.25">
      <c r="A273" t="s">
        <v>73</v>
      </c>
    </row>
    <row r="274" spans="1:1" x14ac:dyDescent="0.25">
      <c r="A274" t="s">
        <v>74</v>
      </c>
    </row>
    <row r="275" spans="1:1" x14ac:dyDescent="0.25">
      <c r="A275" t="s">
        <v>75</v>
      </c>
    </row>
    <row r="276" spans="1:1" x14ac:dyDescent="0.25">
      <c r="A276" t="s">
        <v>76</v>
      </c>
    </row>
    <row r="277" spans="1:1" x14ac:dyDescent="0.25">
      <c r="A277" t="s">
        <v>76</v>
      </c>
    </row>
    <row r="278" spans="1:1" x14ac:dyDescent="0.25">
      <c r="A278" t="s">
        <v>77</v>
      </c>
    </row>
    <row r="279" spans="1:1" x14ac:dyDescent="0.25">
      <c r="A279" t="s">
        <v>78</v>
      </c>
    </row>
    <row r="280" spans="1:1" x14ac:dyDescent="0.25">
      <c r="A280" t="s">
        <v>79</v>
      </c>
    </row>
    <row r="281" spans="1:1" x14ac:dyDescent="0.25">
      <c r="A281" t="s">
        <v>80</v>
      </c>
    </row>
    <row r="282" spans="1:1" x14ac:dyDescent="0.25">
      <c r="A282" t="s">
        <v>81</v>
      </c>
    </row>
    <row r="283" spans="1:1" x14ac:dyDescent="0.25">
      <c r="A283" t="s">
        <v>81</v>
      </c>
    </row>
    <row r="284" spans="1:1" x14ac:dyDescent="0.25">
      <c r="A284" t="s">
        <v>82</v>
      </c>
    </row>
    <row r="285" spans="1:1" x14ac:dyDescent="0.25">
      <c r="A285" t="s">
        <v>83</v>
      </c>
    </row>
    <row r="286" spans="1:1" x14ac:dyDescent="0.25">
      <c r="A286" t="s">
        <v>84</v>
      </c>
    </row>
    <row r="287" spans="1:1" x14ac:dyDescent="0.25">
      <c r="A287" t="s">
        <v>85</v>
      </c>
    </row>
    <row r="288" spans="1:1" x14ac:dyDescent="0.25">
      <c r="A288" t="s">
        <v>86</v>
      </c>
    </row>
    <row r="289" spans="1:1" x14ac:dyDescent="0.25">
      <c r="A289" t="s">
        <v>87</v>
      </c>
    </row>
    <row r="290" spans="1:1" x14ac:dyDescent="0.25">
      <c r="A290" t="s">
        <v>88</v>
      </c>
    </row>
    <row r="291" spans="1:1" x14ac:dyDescent="0.25">
      <c r="A291" t="s">
        <v>89</v>
      </c>
    </row>
    <row r="292" spans="1:1" x14ac:dyDescent="0.25">
      <c r="A292" t="s">
        <v>90</v>
      </c>
    </row>
    <row r="293" spans="1:1" x14ac:dyDescent="0.25">
      <c r="A293" t="s">
        <v>91</v>
      </c>
    </row>
    <row r="294" spans="1:1" x14ac:dyDescent="0.25">
      <c r="A294" t="s">
        <v>92</v>
      </c>
    </row>
    <row r="295" spans="1:1" x14ac:dyDescent="0.25">
      <c r="A295" t="s">
        <v>93</v>
      </c>
    </row>
    <row r="296" spans="1:1" x14ac:dyDescent="0.25">
      <c r="A296" t="s">
        <v>94</v>
      </c>
    </row>
    <row r="297" spans="1:1" x14ac:dyDescent="0.25">
      <c r="A297" t="s">
        <v>95</v>
      </c>
    </row>
    <row r="298" spans="1:1" x14ac:dyDescent="0.25">
      <c r="A298" t="s">
        <v>96</v>
      </c>
    </row>
    <row r="299" spans="1:1" x14ac:dyDescent="0.25">
      <c r="A299" t="s">
        <v>97</v>
      </c>
    </row>
    <row r="300" spans="1:1" x14ac:dyDescent="0.25">
      <c r="A300" t="s">
        <v>98</v>
      </c>
    </row>
    <row r="301" spans="1:1" x14ac:dyDescent="0.25">
      <c r="A301" t="s">
        <v>99</v>
      </c>
    </row>
    <row r="302" spans="1:1" x14ac:dyDescent="0.25">
      <c r="A302" t="s">
        <v>100</v>
      </c>
    </row>
    <row r="303" spans="1:1" x14ac:dyDescent="0.25">
      <c r="A303" t="s">
        <v>101</v>
      </c>
    </row>
    <row r="304" spans="1:1" x14ac:dyDescent="0.25">
      <c r="A304" t="s">
        <v>102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Lapas3"/>
  <dimension ref="A1:J222"/>
  <sheetViews>
    <sheetView zoomScale="85" zoomScaleNormal="85" workbookViewId="0">
      <pane ySplit="2" topLeftCell="A79" activePane="bottomLeft" state="frozen"/>
      <selection pane="bottomLeft" activeCell="A92" sqref="A92"/>
    </sheetView>
  </sheetViews>
  <sheetFormatPr defaultRowHeight="15" outlineLevelRow="1" x14ac:dyDescent="0.25"/>
  <cols>
    <col min="1" max="1" width="51.140625" style="51" customWidth="1"/>
    <col min="2" max="2" width="23" style="3" bestFit="1" customWidth="1"/>
    <col min="3" max="3" width="21.28515625" style="3" bestFit="1" customWidth="1"/>
    <col min="4" max="4" width="87.42578125" style="54" customWidth="1"/>
    <col min="5" max="5" width="32.7109375" style="3" customWidth="1"/>
    <col min="6" max="6" width="12.5703125" style="51" bestFit="1" customWidth="1"/>
    <col min="7" max="7" width="39.140625" style="51" bestFit="1" customWidth="1"/>
    <col min="8" max="8" width="22.7109375" style="51" bestFit="1" customWidth="1"/>
    <col min="9" max="9" width="16.140625" style="51" bestFit="1" customWidth="1"/>
    <col min="10" max="16384" width="9.140625" style="51"/>
  </cols>
  <sheetData>
    <row r="1" spans="1:10" ht="65.25" thickTop="1" thickBot="1" x14ac:dyDescent="0.3">
      <c r="A1" s="87" t="s">
        <v>180</v>
      </c>
      <c r="B1" s="88" t="s">
        <v>181</v>
      </c>
      <c r="E1" s="56" t="s">
        <v>247</v>
      </c>
      <c r="F1" s="244" t="s">
        <v>229</v>
      </c>
    </row>
    <row r="2" spans="1:10" ht="15.75" thickTop="1" x14ac:dyDescent="0.25"/>
    <row r="3" spans="1:10" s="83" customFormat="1" ht="23.25" outlineLevel="1" x14ac:dyDescent="0.25">
      <c r="A3" s="85" t="s">
        <v>112</v>
      </c>
      <c r="B3" s="84" t="s">
        <v>110</v>
      </c>
      <c r="C3" s="84" t="s">
        <v>111</v>
      </c>
      <c r="D3" s="84" t="s">
        <v>110</v>
      </c>
      <c r="E3" s="84" t="s">
        <v>111</v>
      </c>
      <c r="F3" s="51"/>
    </row>
    <row r="4" spans="1:10" s="78" customFormat="1" ht="23.25" outlineLevel="1" x14ac:dyDescent="0.3">
      <c r="A4" s="75" t="s">
        <v>154</v>
      </c>
      <c r="B4" s="76" t="s">
        <v>151</v>
      </c>
      <c r="C4" s="77" t="s">
        <v>152</v>
      </c>
      <c r="D4" s="76" t="s">
        <v>151</v>
      </c>
      <c r="E4" s="77" t="s">
        <v>152</v>
      </c>
      <c r="F4" s="51"/>
      <c r="G4" s="83"/>
      <c r="H4" s="83"/>
      <c r="I4" s="83"/>
      <c r="J4" s="83"/>
    </row>
    <row r="5" spans="1:10" s="52" customFormat="1" ht="59.25" outlineLevel="1" thickBot="1" x14ac:dyDescent="0.3">
      <c r="A5" s="53"/>
      <c r="B5" s="55"/>
      <c r="C5" s="192" t="s">
        <v>227</v>
      </c>
      <c r="D5" s="225" t="s">
        <v>246</v>
      </c>
      <c r="E5" s="56" t="s">
        <v>250</v>
      </c>
      <c r="F5" s="51"/>
      <c r="G5" s="83"/>
      <c r="H5" s="83"/>
      <c r="I5" s="83"/>
      <c r="J5" s="83"/>
    </row>
    <row r="6" spans="1:10" ht="27.75" outlineLevel="1" thickTop="1" thickBot="1" x14ac:dyDescent="0.3">
      <c r="A6" s="235" t="s">
        <v>29</v>
      </c>
      <c r="B6" s="195" t="s">
        <v>148</v>
      </c>
      <c r="C6" s="252" t="s">
        <v>142</v>
      </c>
      <c r="D6" s="189" t="str">
        <f>B6</f>
        <v>Õ</v>
      </c>
      <c r="E6" s="189" t="str">
        <f>C6</f>
        <v xml:space="preserve"> </v>
      </c>
      <c r="G6" s="83"/>
      <c r="H6" s="83"/>
      <c r="I6" s="83"/>
      <c r="J6" s="83"/>
    </row>
    <row r="7" spans="1:10" ht="27.75" outlineLevel="1" thickTop="1" thickBot="1" x14ac:dyDescent="0.3">
      <c r="A7" s="235" t="s">
        <v>251</v>
      </c>
      <c r="B7" s="195" t="s">
        <v>140</v>
      </c>
      <c r="C7" s="252" t="s">
        <v>142</v>
      </c>
      <c r="D7" s="189" t="str">
        <f t="shared" ref="D7:D39" si="0">B7</f>
        <v>à</v>
      </c>
      <c r="E7" s="189" t="str">
        <f t="shared" ref="E7:E39" si="1">C7</f>
        <v xml:space="preserve"> </v>
      </c>
    </row>
    <row r="8" spans="1:10" ht="27.75" outlineLevel="1" thickTop="1" thickBot="1" x14ac:dyDescent="0.3">
      <c r="A8" s="235" t="s">
        <v>47</v>
      </c>
      <c r="B8" s="195" t="s">
        <v>149</v>
      </c>
      <c r="C8" s="252" t="s">
        <v>142</v>
      </c>
      <c r="D8" s="189" t="str">
        <f t="shared" si="0"/>
        <v>Ö</v>
      </c>
      <c r="E8" s="189" t="str">
        <f t="shared" si="1"/>
        <v xml:space="preserve"> </v>
      </c>
    </row>
    <row r="9" spans="1:10" ht="27.75" outlineLevel="1" thickTop="1" thickBot="1" x14ac:dyDescent="0.3">
      <c r="A9" s="233" t="s">
        <v>39</v>
      </c>
      <c r="B9" s="243" t="s">
        <v>155</v>
      </c>
      <c r="C9" s="253" t="s">
        <v>143</v>
      </c>
      <c r="D9" s="189" t="str">
        <f t="shared" si="0"/>
        <v>×</v>
      </c>
      <c r="E9" s="189" t="str">
        <f t="shared" si="1"/>
        <v>S</v>
      </c>
    </row>
    <row r="10" spans="1:10" ht="27.75" outlineLevel="1" thickTop="1" thickBot="1" x14ac:dyDescent="0.3">
      <c r="A10" s="234" t="s">
        <v>200</v>
      </c>
      <c r="B10" s="243" t="s">
        <v>155</v>
      </c>
      <c r="C10" s="253" t="s">
        <v>144</v>
      </c>
      <c r="D10" s="189" t="str">
        <f t="shared" si="0"/>
        <v>×</v>
      </c>
      <c r="E10" s="189" t="str">
        <f t="shared" si="1"/>
        <v>SS</v>
      </c>
    </row>
    <row r="11" spans="1:10" ht="27.75" outlineLevel="1" thickTop="1" thickBot="1" x14ac:dyDescent="0.3">
      <c r="A11" s="234" t="s">
        <v>255</v>
      </c>
      <c r="B11" s="243" t="s">
        <v>155</v>
      </c>
      <c r="C11" s="253" t="s">
        <v>146</v>
      </c>
      <c r="D11" s="189" t="str">
        <f t="shared" si="0"/>
        <v>×</v>
      </c>
      <c r="E11" s="189" t="str">
        <f t="shared" si="1"/>
        <v>SSS</v>
      </c>
    </row>
    <row r="12" spans="1:10" ht="27.75" outlineLevel="1" thickTop="1" thickBot="1" x14ac:dyDescent="0.3">
      <c r="A12" s="260" t="s">
        <v>113</v>
      </c>
      <c r="B12" s="261" t="s">
        <v>179</v>
      </c>
      <c r="C12" s="262" t="s">
        <v>142</v>
      </c>
      <c r="D12" s="189" t="str">
        <f t="shared" si="0"/>
        <v>×ß</v>
      </c>
      <c r="E12" s="189" t="str">
        <f t="shared" si="1"/>
        <v xml:space="preserve"> </v>
      </c>
    </row>
    <row r="13" spans="1:10" ht="27.75" outlineLevel="1" thickTop="1" thickBot="1" x14ac:dyDescent="0.3">
      <c r="A13" s="260" t="s">
        <v>271</v>
      </c>
      <c r="B13" s="261" t="s">
        <v>272</v>
      </c>
      <c r="C13" s="262" t="s">
        <v>142</v>
      </c>
      <c r="D13" s="189"/>
      <c r="E13" s="189" t="str">
        <f t="shared" si="1"/>
        <v xml:space="preserve"> </v>
      </c>
    </row>
    <row r="14" spans="1:10" ht="27.75" outlineLevel="1" thickTop="1" thickBot="1" x14ac:dyDescent="0.3">
      <c r="A14" s="240" t="s">
        <v>24</v>
      </c>
      <c r="B14" s="241" t="s">
        <v>137</v>
      </c>
      <c r="C14" s="254" t="s">
        <v>142</v>
      </c>
      <c r="D14" s="189" t="str">
        <f t="shared" si="0"/>
        <v>Ù</v>
      </c>
      <c r="E14" s="189" t="str">
        <f t="shared" si="1"/>
        <v xml:space="preserve"> </v>
      </c>
    </row>
    <row r="15" spans="1:10" ht="27.75" outlineLevel="1" thickTop="1" thickBot="1" x14ac:dyDescent="0.3">
      <c r="A15" s="240" t="s">
        <v>38</v>
      </c>
      <c r="B15" s="241" t="s">
        <v>137</v>
      </c>
      <c r="C15" s="254" t="s">
        <v>143</v>
      </c>
      <c r="D15" s="189" t="str">
        <f t="shared" si="0"/>
        <v>Ù</v>
      </c>
      <c r="E15" s="189" t="str">
        <f t="shared" si="1"/>
        <v>S</v>
      </c>
    </row>
    <row r="16" spans="1:10" ht="27.75" outlineLevel="1" thickTop="1" thickBot="1" x14ac:dyDescent="0.3">
      <c r="A16" s="240" t="s">
        <v>201</v>
      </c>
      <c r="B16" s="241" t="s">
        <v>137</v>
      </c>
      <c r="C16" s="254" t="s">
        <v>144</v>
      </c>
      <c r="D16" s="189" t="str">
        <f t="shared" si="0"/>
        <v>Ù</v>
      </c>
      <c r="E16" s="189" t="str">
        <f t="shared" si="1"/>
        <v>SS</v>
      </c>
    </row>
    <row r="17" spans="1:5" ht="27.75" outlineLevel="1" thickTop="1" thickBot="1" x14ac:dyDescent="0.3">
      <c r="A17" s="240" t="s">
        <v>254</v>
      </c>
      <c r="B17" s="241" t="s">
        <v>137</v>
      </c>
      <c r="C17" s="254" t="s">
        <v>146</v>
      </c>
      <c r="D17" s="189" t="str">
        <f t="shared" si="0"/>
        <v>Ù</v>
      </c>
      <c r="E17" s="189" t="str">
        <f t="shared" si="1"/>
        <v>SSS</v>
      </c>
    </row>
    <row r="18" spans="1:5" ht="27.75" outlineLevel="1" thickTop="1" thickBot="1" x14ac:dyDescent="0.3">
      <c r="A18" s="245" t="s">
        <v>20</v>
      </c>
      <c r="B18" s="242" t="s">
        <v>150</v>
      </c>
      <c r="C18" s="255" t="s">
        <v>142</v>
      </c>
      <c r="D18" s="189" t="str">
        <f t="shared" si="0"/>
        <v>ÙÙ</v>
      </c>
      <c r="E18" s="189" t="str">
        <f t="shared" si="1"/>
        <v xml:space="preserve"> </v>
      </c>
    </row>
    <row r="19" spans="1:5" ht="27.75" outlineLevel="1" thickTop="1" thickBot="1" x14ac:dyDescent="0.3">
      <c r="A19" s="245" t="s">
        <v>36</v>
      </c>
      <c r="B19" s="242" t="s">
        <v>150</v>
      </c>
      <c r="C19" s="255" t="s">
        <v>143</v>
      </c>
      <c r="D19" s="189" t="str">
        <f t="shared" si="0"/>
        <v>ÙÙ</v>
      </c>
      <c r="E19" s="189" t="str">
        <f t="shared" si="1"/>
        <v>S</v>
      </c>
    </row>
    <row r="20" spans="1:5" ht="27.75" outlineLevel="1" thickTop="1" thickBot="1" x14ac:dyDescent="0.3">
      <c r="A20" s="245" t="s">
        <v>32</v>
      </c>
      <c r="B20" s="242" t="s">
        <v>150</v>
      </c>
      <c r="C20" s="255" t="s">
        <v>144</v>
      </c>
      <c r="D20" s="189" t="str">
        <f t="shared" si="0"/>
        <v>ÙÙ</v>
      </c>
      <c r="E20" s="189" t="str">
        <f t="shared" si="1"/>
        <v>SS</v>
      </c>
    </row>
    <row r="21" spans="1:5" ht="27.75" outlineLevel="1" thickTop="1" thickBot="1" x14ac:dyDescent="0.3">
      <c r="A21" s="245" t="s">
        <v>147</v>
      </c>
      <c r="B21" s="242" t="s">
        <v>150</v>
      </c>
      <c r="C21" s="255" t="s">
        <v>146</v>
      </c>
      <c r="D21" s="189" t="str">
        <f t="shared" si="0"/>
        <v>ÙÙ</v>
      </c>
      <c r="E21" s="189" t="str">
        <f t="shared" si="1"/>
        <v>SSS</v>
      </c>
    </row>
    <row r="22" spans="1:5" ht="27.75" outlineLevel="1" thickTop="1" thickBot="1" x14ac:dyDescent="0.3">
      <c r="A22" s="246" t="s">
        <v>226</v>
      </c>
      <c r="B22" s="243" t="s">
        <v>155</v>
      </c>
      <c r="C22" s="249" t="s">
        <v>229</v>
      </c>
      <c r="D22" s="189" t="str">
        <f t="shared" si="0"/>
        <v>×</v>
      </c>
      <c r="E22" s="189" t="str">
        <f t="shared" si="1"/>
        <v>h</v>
      </c>
    </row>
    <row r="23" spans="1:5" ht="27.75" outlineLevel="1" thickTop="1" thickBot="1" x14ac:dyDescent="0.3">
      <c r="A23" s="246" t="s">
        <v>202</v>
      </c>
      <c r="B23" s="243" t="s">
        <v>155</v>
      </c>
      <c r="C23" s="249" t="s">
        <v>230</v>
      </c>
      <c r="D23" s="189" t="str">
        <f t="shared" si="0"/>
        <v>×</v>
      </c>
      <c r="E23" s="189" t="str">
        <f t="shared" si="1"/>
        <v>Sh</v>
      </c>
    </row>
    <row r="24" spans="1:5" ht="27.75" outlineLevel="1" thickTop="1" thickBot="1" x14ac:dyDescent="0.3">
      <c r="A24" s="247" t="s">
        <v>240</v>
      </c>
      <c r="B24" s="243" t="s">
        <v>155</v>
      </c>
      <c r="C24" s="249" t="s">
        <v>231</v>
      </c>
      <c r="D24" s="189" t="str">
        <f t="shared" si="0"/>
        <v>×</v>
      </c>
      <c r="E24" s="189" t="str">
        <f t="shared" si="1"/>
        <v>SSh</v>
      </c>
    </row>
    <row r="25" spans="1:5" ht="27.75" outlineLevel="1" thickTop="1" thickBot="1" x14ac:dyDescent="0.3">
      <c r="A25" s="247" t="s">
        <v>256</v>
      </c>
      <c r="B25" s="243" t="s">
        <v>155</v>
      </c>
      <c r="C25" s="249" t="s">
        <v>257</v>
      </c>
      <c r="D25" s="189" t="str">
        <f t="shared" si="0"/>
        <v>×</v>
      </c>
      <c r="E25" s="189" t="str">
        <f t="shared" si="1"/>
        <v>SSSh</v>
      </c>
    </row>
    <row r="26" spans="1:5" ht="27.75" outlineLevel="1" thickTop="1" thickBot="1" x14ac:dyDescent="0.3">
      <c r="A26" s="233" t="s">
        <v>303</v>
      </c>
      <c r="B26" s="191" t="s">
        <v>155</v>
      </c>
      <c r="C26" s="190" t="s">
        <v>270</v>
      </c>
      <c r="D26" s="189" t="str">
        <f>B26</f>
        <v>×</v>
      </c>
      <c r="E26" s="189" t="str">
        <f>C26</f>
        <v>SSSS</v>
      </c>
    </row>
    <row r="27" spans="1:5" ht="27.75" outlineLevel="1" thickTop="1" thickBot="1" x14ac:dyDescent="0.3">
      <c r="A27" s="240" t="s">
        <v>261</v>
      </c>
      <c r="B27" s="241" t="s">
        <v>137</v>
      </c>
      <c r="C27" s="250" t="s">
        <v>229</v>
      </c>
      <c r="D27" s="189" t="str">
        <f t="shared" si="0"/>
        <v>Ù</v>
      </c>
      <c r="E27" s="189" t="str">
        <f t="shared" si="1"/>
        <v>h</v>
      </c>
    </row>
    <row r="28" spans="1:5" ht="27.75" outlineLevel="1" thickTop="1" thickBot="1" x14ac:dyDescent="0.3">
      <c r="A28" s="240" t="s">
        <v>221</v>
      </c>
      <c r="B28" s="241" t="s">
        <v>137</v>
      </c>
      <c r="C28" s="250" t="s">
        <v>230</v>
      </c>
      <c r="D28" s="189" t="str">
        <f t="shared" si="0"/>
        <v>Ù</v>
      </c>
      <c r="E28" s="189" t="str">
        <f t="shared" si="1"/>
        <v>Sh</v>
      </c>
    </row>
    <row r="29" spans="1:5" ht="27.75" outlineLevel="1" thickTop="1" thickBot="1" x14ac:dyDescent="0.3">
      <c r="A29" s="240" t="s">
        <v>258</v>
      </c>
      <c r="B29" s="241" t="s">
        <v>137</v>
      </c>
      <c r="C29" s="250" t="s">
        <v>231</v>
      </c>
      <c r="D29" s="189" t="str">
        <f t="shared" si="0"/>
        <v>Ù</v>
      </c>
      <c r="E29" s="189" t="str">
        <f t="shared" si="1"/>
        <v>SSh</v>
      </c>
    </row>
    <row r="30" spans="1:5" ht="27.75" outlineLevel="1" thickTop="1" thickBot="1" x14ac:dyDescent="0.3">
      <c r="A30" s="240" t="s">
        <v>259</v>
      </c>
      <c r="B30" s="241" t="s">
        <v>137</v>
      </c>
      <c r="C30" s="250" t="s">
        <v>257</v>
      </c>
      <c r="D30" s="189" t="str">
        <f t="shared" si="0"/>
        <v>Ù</v>
      </c>
      <c r="E30" s="189" t="str">
        <f t="shared" si="1"/>
        <v>SSSh</v>
      </c>
    </row>
    <row r="31" spans="1:5" ht="27.75" outlineLevel="1" thickTop="1" thickBot="1" x14ac:dyDescent="0.3">
      <c r="A31" s="245" t="s">
        <v>262</v>
      </c>
      <c r="B31" s="242" t="s">
        <v>150</v>
      </c>
      <c r="C31" s="251" t="s">
        <v>229</v>
      </c>
      <c r="D31" s="189" t="str">
        <f t="shared" si="0"/>
        <v>ÙÙ</v>
      </c>
      <c r="E31" s="189" t="str">
        <f t="shared" si="1"/>
        <v>h</v>
      </c>
    </row>
    <row r="32" spans="1:5" ht="27.75" outlineLevel="1" thickTop="1" thickBot="1" x14ac:dyDescent="0.3">
      <c r="A32" s="245" t="s">
        <v>222</v>
      </c>
      <c r="B32" s="242" t="s">
        <v>150</v>
      </c>
      <c r="C32" s="251" t="s">
        <v>230</v>
      </c>
      <c r="D32" s="189" t="str">
        <f t="shared" si="0"/>
        <v>ÙÙ</v>
      </c>
      <c r="E32" s="189" t="str">
        <f t="shared" si="1"/>
        <v>Sh</v>
      </c>
    </row>
    <row r="33" spans="1:5" ht="27.75" outlineLevel="1" thickTop="1" thickBot="1" x14ac:dyDescent="0.3">
      <c r="A33" s="248" t="s">
        <v>239</v>
      </c>
      <c r="B33" s="242" t="s">
        <v>150</v>
      </c>
      <c r="C33" s="251" t="s">
        <v>231</v>
      </c>
      <c r="D33" s="189" t="str">
        <f t="shared" si="0"/>
        <v>ÙÙ</v>
      </c>
      <c r="E33" s="189" t="str">
        <f t="shared" si="1"/>
        <v>SSh</v>
      </c>
    </row>
    <row r="34" spans="1:5" ht="27.75" outlineLevel="1" thickTop="1" thickBot="1" x14ac:dyDescent="0.3">
      <c r="A34" s="248" t="s">
        <v>238</v>
      </c>
      <c r="B34" s="242" t="s">
        <v>150</v>
      </c>
      <c r="C34" s="251" t="s">
        <v>257</v>
      </c>
      <c r="D34" s="189" t="str">
        <f t="shared" si="0"/>
        <v>ÙÙ</v>
      </c>
      <c r="E34" s="189" t="str">
        <f t="shared" si="1"/>
        <v>SSSh</v>
      </c>
    </row>
    <row r="35" spans="1:5" ht="27.75" outlineLevel="1" thickTop="1" thickBot="1" x14ac:dyDescent="0.3">
      <c r="A35" s="258" t="s">
        <v>268</v>
      </c>
      <c r="B35" s="242" t="s">
        <v>150</v>
      </c>
      <c r="C35" s="259" t="s">
        <v>270</v>
      </c>
      <c r="D35" s="189" t="str">
        <f t="shared" ref="D35:D37" si="2">B35</f>
        <v>ÙÙ</v>
      </c>
      <c r="E35" s="189" t="str">
        <f t="shared" ref="E35:E37" si="3">C35</f>
        <v>SSSS</v>
      </c>
    </row>
    <row r="36" spans="1:5" ht="27.75" outlineLevel="1" thickTop="1" thickBot="1" x14ac:dyDescent="0.3">
      <c r="A36" s="258" t="s">
        <v>269</v>
      </c>
      <c r="B36" s="242" t="s">
        <v>150</v>
      </c>
      <c r="C36" s="259" t="s">
        <v>270</v>
      </c>
      <c r="D36" s="189" t="str">
        <f t="shared" si="2"/>
        <v>ÙÙ</v>
      </c>
      <c r="E36" s="189" t="str">
        <f t="shared" si="3"/>
        <v>SSSS</v>
      </c>
    </row>
    <row r="37" spans="1:5" ht="27.75" outlineLevel="1" thickTop="1" thickBot="1" x14ac:dyDescent="0.3">
      <c r="A37" s="246" t="s">
        <v>297</v>
      </c>
      <c r="B37" s="242" t="s">
        <v>300</v>
      </c>
      <c r="C37" s="190" t="s">
        <v>142</v>
      </c>
      <c r="D37" s="189" t="str">
        <f t="shared" si="2"/>
        <v>ßß</v>
      </c>
      <c r="E37" s="189" t="str">
        <f t="shared" si="3"/>
        <v xml:space="preserve"> </v>
      </c>
    </row>
    <row r="38" spans="1:5" ht="27.75" outlineLevel="1" thickTop="1" thickBot="1" x14ac:dyDescent="0.3">
      <c r="A38" s="246" t="s">
        <v>298</v>
      </c>
      <c r="B38" s="242" t="s">
        <v>299</v>
      </c>
      <c r="C38" s="190" t="s">
        <v>142</v>
      </c>
      <c r="D38" s="189" t="str">
        <f t="shared" si="0"/>
        <v>ÙÛ</v>
      </c>
      <c r="E38" s="189" t="str">
        <f t="shared" si="1"/>
        <v xml:space="preserve"> </v>
      </c>
    </row>
    <row r="39" spans="1:5" ht="27.75" outlineLevel="1" thickTop="1" thickBot="1" x14ac:dyDescent="0.3">
      <c r="A39" s="233" t="s">
        <v>301</v>
      </c>
      <c r="B39" s="191" t="s">
        <v>302</v>
      </c>
      <c r="C39" s="190" t="s">
        <v>142</v>
      </c>
      <c r="D39" s="189" t="str">
        <f t="shared" si="0"/>
        <v>Õß</v>
      </c>
      <c r="E39" s="189" t="str">
        <f t="shared" si="1"/>
        <v xml:space="preserve"> </v>
      </c>
    </row>
    <row r="40" spans="1:5" ht="27.75" outlineLevel="1" thickTop="1" thickBot="1" x14ac:dyDescent="0.3">
      <c r="A40" s="246" t="s">
        <v>304</v>
      </c>
      <c r="B40" s="191" t="s">
        <v>302</v>
      </c>
      <c r="C40" s="190" t="s">
        <v>142</v>
      </c>
      <c r="D40" s="189" t="str">
        <f t="shared" ref="D40:D47" si="4">B40</f>
        <v>Õß</v>
      </c>
      <c r="E40" s="189" t="str">
        <f t="shared" ref="E40:E47" si="5">C40</f>
        <v xml:space="preserve"> </v>
      </c>
    </row>
    <row r="41" spans="1:5" ht="27.75" outlineLevel="1" thickTop="1" thickBot="1" x14ac:dyDescent="0.3">
      <c r="A41" s="245" t="s">
        <v>41</v>
      </c>
      <c r="B41" s="242" t="s">
        <v>150</v>
      </c>
      <c r="C41" s="255" t="s">
        <v>145</v>
      </c>
      <c r="D41" s="189" t="str">
        <f t="shared" si="4"/>
        <v>ÙÙ</v>
      </c>
      <c r="E41" s="189" t="str">
        <f t="shared" si="5"/>
        <v>T</v>
      </c>
    </row>
    <row r="42" spans="1:5" ht="27.75" outlineLevel="1" thickTop="1" thickBot="1" x14ac:dyDescent="0.3">
      <c r="A42" s="235" t="s">
        <v>232</v>
      </c>
      <c r="B42" s="195"/>
      <c r="C42" s="196" t="s">
        <v>228</v>
      </c>
      <c r="D42" s="189">
        <f t="shared" si="4"/>
        <v>0</v>
      </c>
      <c r="E42" s="189" t="str">
        <f t="shared" si="5"/>
        <v>t</v>
      </c>
    </row>
    <row r="43" spans="1:5" ht="27.75" outlineLevel="1" thickTop="1" thickBot="1" x14ac:dyDescent="0.3">
      <c r="A43" s="246" t="s">
        <v>306</v>
      </c>
      <c r="B43" s="261" t="s">
        <v>307</v>
      </c>
      <c r="C43" s="249" t="s">
        <v>142</v>
      </c>
      <c r="D43" s="189" t="str">
        <f t="shared" si="4"/>
        <v>Ùß</v>
      </c>
      <c r="E43" s="189" t="str">
        <f t="shared" si="5"/>
        <v xml:space="preserve"> </v>
      </c>
    </row>
    <row r="44" spans="1:5" ht="27.75" outlineLevel="1" thickTop="1" thickBot="1" x14ac:dyDescent="0.3">
      <c r="A44" s="246"/>
      <c r="B44" s="243"/>
      <c r="C44" s="249"/>
      <c r="D44" s="189">
        <f t="shared" si="4"/>
        <v>0</v>
      </c>
      <c r="E44" s="189">
        <f t="shared" si="5"/>
        <v>0</v>
      </c>
    </row>
    <row r="45" spans="1:5" ht="27.75" outlineLevel="1" thickTop="1" thickBot="1" x14ac:dyDescent="0.3">
      <c r="A45" s="246"/>
      <c r="B45" s="243"/>
      <c r="C45" s="249"/>
      <c r="D45" s="189">
        <f t="shared" si="4"/>
        <v>0</v>
      </c>
      <c r="E45" s="189">
        <f t="shared" si="5"/>
        <v>0</v>
      </c>
    </row>
    <row r="46" spans="1:5" ht="27.75" outlineLevel="1" thickTop="1" thickBot="1" x14ac:dyDescent="0.3">
      <c r="A46" s="246"/>
      <c r="B46" s="243"/>
      <c r="C46" s="249"/>
      <c r="D46" s="189">
        <f t="shared" si="4"/>
        <v>0</v>
      </c>
      <c r="E46" s="189">
        <f t="shared" si="5"/>
        <v>0</v>
      </c>
    </row>
    <row r="47" spans="1:5" ht="27.75" outlineLevel="1" thickTop="1" thickBot="1" x14ac:dyDescent="0.3">
      <c r="A47" s="246"/>
      <c r="B47" s="243"/>
      <c r="C47" s="249"/>
      <c r="D47" s="189">
        <f t="shared" si="4"/>
        <v>0</v>
      </c>
      <c r="E47" s="189">
        <f t="shared" si="5"/>
        <v>0</v>
      </c>
    </row>
    <row r="48" spans="1:5" ht="24" thickTop="1" x14ac:dyDescent="0.25">
      <c r="A48" s="85" t="s">
        <v>112</v>
      </c>
    </row>
    <row r="49" spans="1:8" s="98" customFormat="1" x14ac:dyDescent="0.25">
      <c r="B49" s="99"/>
      <c r="C49" s="99"/>
      <c r="D49" s="100"/>
      <c r="E49" s="99"/>
    </row>
    <row r="50" spans="1:8" s="83" customFormat="1" ht="24" outlineLevel="1" thickBot="1" x14ac:dyDescent="0.4">
      <c r="A50" s="85" t="s">
        <v>109</v>
      </c>
      <c r="B50" s="79" t="s">
        <v>106</v>
      </c>
      <c r="C50" s="80"/>
      <c r="D50" s="81"/>
      <c r="E50" s="82"/>
      <c r="F50" s="80"/>
      <c r="G50" s="80"/>
      <c r="H50" s="80"/>
    </row>
    <row r="51" spans="1:8" ht="16.5" outlineLevel="1" thickTop="1" thickBot="1" x14ac:dyDescent="0.3">
      <c r="A51" s="71"/>
      <c r="B51" s="71">
        <v>-40</v>
      </c>
      <c r="C51"/>
      <c r="D51" s="31"/>
      <c r="E51" s="48"/>
      <c r="F51"/>
      <c r="G51"/>
      <c r="H51"/>
    </row>
    <row r="52" spans="1:8" ht="16.5" outlineLevel="1" thickTop="1" thickBot="1" x14ac:dyDescent="0.3">
      <c r="A52" s="71"/>
      <c r="B52" s="71">
        <v>-39</v>
      </c>
      <c r="C52"/>
      <c r="D52" s="31"/>
      <c r="E52" s="48"/>
      <c r="F52"/>
      <c r="G52"/>
      <c r="H52"/>
    </row>
    <row r="53" spans="1:8" ht="16.5" outlineLevel="1" thickTop="1" thickBot="1" x14ac:dyDescent="0.3">
      <c r="A53" s="71"/>
      <c r="B53" s="71">
        <v>-38</v>
      </c>
      <c r="C53"/>
      <c r="D53" s="31"/>
      <c r="E53" s="48"/>
      <c r="F53"/>
      <c r="G53"/>
      <c r="H53"/>
    </row>
    <row r="54" spans="1:8" ht="16.5" outlineLevel="1" thickTop="1" thickBot="1" x14ac:dyDescent="0.3">
      <c r="A54" s="71"/>
      <c r="B54" s="71">
        <v>-37</v>
      </c>
      <c r="C54"/>
      <c r="D54" s="31"/>
      <c r="E54" s="48"/>
      <c r="F54"/>
      <c r="G54"/>
      <c r="H54"/>
    </row>
    <row r="55" spans="1:8" ht="16.5" outlineLevel="1" thickTop="1" thickBot="1" x14ac:dyDescent="0.3">
      <c r="A55" s="71"/>
      <c r="B55" s="71">
        <v>-36</v>
      </c>
      <c r="C55"/>
      <c r="D55" s="31"/>
      <c r="E55" s="48"/>
      <c r="F55"/>
      <c r="G55"/>
      <c r="H55"/>
    </row>
    <row r="56" spans="1:8" ht="16.5" outlineLevel="1" thickTop="1" thickBot="1" x14ac:dyDescent="0.3">
      <c r="A56" s="71"/>
      <c r="B56" s="71">
        <v>-35</v>
      </c>
      <c r="C56"/>
      <c r="D56" s="31"/>
      <c r="E56" s="48"/>
      <c r="F56"/>
      <c r="G56"/>
      <c r="H56"/>
    </row>
    <row r="57" spans="1:8" ht="16.5" outlineLevel="1" thickTop="1" thickBot="1" x14ac:dyDescent="0.3">
      <c r="A57" s="71"/>
      <c r="B57" s="71">
        <v>-34</v>
      </c>
      <c r="C57"/>
      <c r="D57" s="31"/>
      <c r="E57" s="48"/>
      <c r="F57"/>
      <c r="G57"/>
      <c r="H57"/>
    </row>
    <row r="58" spans="1:8" ht="16.5" outlineLevel="1" thickTop="1" thickBot="1" x14ac:dyDescent="0.3">
      <c r="A58" s="71"/>
      <c r="B58" s="71">
        <v>-33</v>
      </c>
      <c r="C58"/>
      <c r="D58" s="31"/>
      <c r="E58" s="48"/>
      <c r="F58"/>
      <c r="G58"/>
      <c r="H58"/>
    </row>
    <row r="59" spans="1:8" ht="16.5" outlineLevel="1" thickTop="1" thickBot="1" x14ac:dyDescent="0.3">
      <c r="A59" s="71"/>
      <c r="B59" s="71">
        <v>-32</v>
      </c>
      <c r="C59"/>
      <c r="D59" s="31"/>
      <c r="E59" s="48"/>
      <c r="F59"/>
      <c r="G59"/>
      <c r="H59"/>
    </row>
    <row r="60" spans="1:8" ht="16.5" outlineLevel="1" thickTop="1" thickBot="1" x14ac:dyDescent="0.3">
      <c r="A60" s="71"/>
      <c r="B60" s="71">
        <v>-31</v>
      </c>
      <c r="C60"/>
      <c r="D60" s="31"/>
      <c r="E60" s="48"/>
      <c r="F60"/>
      <c r="G60"/>
      <c r="H60"/>
    </row>
    <row r="61" spans="1:8" ht="16.5" outlineLevel="1" thickTop="1" thickBot="1" x14ac:dyDescent="0.3">
      <c r="A61" s="71"/>
      <c r="B61" s="71">
        <v>-30</v>
      </c>
      <c r="C61"/>
      <c r="D61" s="31"/>
      <c r="E61" s="48"/>
      <c r="F61"/>
      <c r="G61"/>
      <c r="H61"/>
    </row>
    <row r="62" spans="1:8" ht="16.5" outlineLevel="1" thickTop="1" thickBot="1" x14ac:dyDescent="0.3">
      <c r="A62" s="71"/>
      <c r="B62" s="71">
        <v>-29</v>
      </c>
      <c r="C62"/>
      <c r="D62" s="31"/>
      <c r="E62" s="48"/>
      <c r="F62"/>
      <c r="G62"/>
      <c r="H62"/>
    </row>
    <row r="63" spans="1:8" ht="16.5" outlineLevel="1" thickTop="1" thickBot="1" x14ac:dyDescent="0.3">
      <c r="A63" s="71"/>
      <c r="B63" s="71">
        <v>-28</v>
      </c>
      <c r="C63"/>
      <c r="D63" s="31"/>
      <c r="E63" s="48"/>
      <c r="F63"/>
      <c r="G63"/>
      <c r="H63"/>
    </row>
    <row r="64" spans="1:8" ht="16.5" outlineLevel="1" thickTop="1" thickBot="1" x14ac:dyDescent="0.3">
      <c r="A64" s="71"/>
      <c r="B64" s="71">
        <v>-27</v>
      </c>
      <c r="C64"/>
      <c r="D64" s="31"/>
      <c r="E64" s="48"/>
      <c r="F64"/>
      <c r="G64"/>
      <c r="H64"/>
    </row>
    <row r="65" spans="1:8" ht="16.5" outlineLevel="1" thickTop="1" thickBot="1" x14ac:dyDescent="0.3">
      <c r="A65" s="71"/>
      <c r="B65" s="71">
        <v>-26</v>
      </c>
      <c r="C65"/>
      <c r="D65" s="31"/>
      <c r="E65" s="48"/>
      <c r="F65"/>
      <c r="G65"/>
      <c r="H65"/>
    </row>
    <row r="66" spans="1:8" ht="16.5" outlineLevel="1" thickTop="1" thickBot="1" x14ac:dyDescent="0.3">
      <c r="A66" s="71"/>
      <c r="B66" s="71">
        <v>-25</v>
      </c>
      <c r="C66"/>
      <c r="D66" s="31"/>
      <c r="E66" s="48"/>
      <c r="F66"/>
      <c r="G66"/>
      <c r="H66"/>
    </row>
    <row r="67" spans="1:8" ht="16.5" outlineLevel="1" thickTop="1" thickBot="1" x14ac:dyDescent="0.3">
      <c r="A67" s="71"/>
      <c r="B67" s="71">
        <v>-24</v>
      </c>
      <c r="C67"/>
      <c r="D67" s="31"/>
      <c r="E67" s="48"/>
      <c r="F67"/>
      <c r="G67"/>
      <c r="H67"/>
    </row>
    <row r="68" spans="1:8" ht="16.5" outlineLevel="1" thickTop="1" thickBot="1" x14ac:dyDescent="0.3">
      <c r="A68" s="71"/>
      <c r="B68" s="71">
        <v>-23</v>
      </c>
      <c r="C68"/>
      <c r="D68" s="31"/>
      <c r="E68" s="48"/>
      <c r="F68"/>
      <c r="G68"/>
      <c r="H68"/>
    </row>
    <row r="69" spans="1:8" ht="16.5" outlineLevel="1" thickTop="1" thickBot="1" x14ac:dyDescent="0.3">
      <c r="A69" s="71"/>
      <c r="B69" s="71">
        <v>-22</v>
      </c>
      <c r="C69"/>
      <c r="D69" s="31"/>
      <c r="E69" s="48"/>
      <c r="F69"/>
      <c r="G69"/>
      <c r="H69"/>
    </row>
    <row r="70" spans="1:8" ht="16.5" outlineLevel="1" thickTop="1" thickBot="1" x14ac:dyDescent="0.3">
      <c r="A70" s="71"/>
      <c r="B70" s="71">
        <v>-21</v>
      </c>
      <c r="C70"/>
      <c r="D70" s="31"/>
      <c r="E70" s="48"/>
      <c r="F70"/>
      <c r="G70"/>
      <c r="H70"/>
    </row>
    <row r="71" spans="1:8" ht="16.5" outlineLevel="1" thickTop="1" thickBot="1" x14ac:dyDescent="0.3">
      <c r="A71" s="71"/>
      <c r="B71" s="71">
        <v>-20</v>
      </c>
      <c r="C71"/>
      <c r="D71" s="31"/>
      <c r="E71" s="48"/>
      <c r="F71"/>
      <c r="G71"/>
      <c r="H71"/>
    </row>
    <row r="72" spans="1:8" ht="16.5" outlineLevel="1" thickTop="1" thickBot="1" x14ac:dyDescent="0.3">
      <c r="A72" s="71"/>
      <c r="B72" s="71">
        <v>-19</v>
      </c>
      <c r="C72"/>
      <c r="D72" s="31"/>
      <c r="E72" s="48"/>
      <c r="F72"/>
      <c r="G72"/>
      <c r="H72"/>
    </row>
    <row r="73" spans="1:8" ht="16.5" outlineLevel="1" thickTop="1" thickBot="1" x14ac:dyDescent="0.3">
      <c r="A73" s="71"/>
      <c r="B73" s="71">
        <v>-18</v>
      </c>
      <c r="C73"/>
      <c r="D73" s="31"/>
      <c r="E73" s="48"/>
      <c r="F73"/>
      <c r="G73"/>
      <c r="H73"/>
    </row>
    <row r="74" spans="1:8" ht="16.5" outlineLevel="1" thickTop="1" thickBot="1" x14ac:dyDescent="0.3">
      <c r="A74" s="71"/>
      <c r="B74" s="71">
        <v>-17</v>
      </c>
      <c r="C74"/>
      <c r="D74" s="31"/>
      <c r="E74" s="48"/>
      <c r="F74"/>
      <c r="G74"/>
      <c r="H74"/>
    </row>
    <row r="75" spans="1:8" ht="16.5" outlineLevel="1" thickTop="1" thickBot="1" x14ac:dyDescent="0.3">
      <c r="A75" s="71"/>
      <c r="B75" s="71">
        <v>-16</v>
      </c>
      <c r="C75"/>
      <c r="D75" s="31"/>
      <c r="E75" s="48"/>
      <c r="F75"/>
      <c r="G75"/>
      <c r="H75"/>
    </row>
    <row r="76" spans="1:8" ht="16.5" outlineLevel="1" thickTop="1" thickBot="1" x14ac:dyDescent="0.3">
      <c r="A76" s="71"/>
      <c r="B76" s="71">
        <v>-15</v>
      </c>
      <c r="C76"/>
      <c r="D76" s="31"/>
      <c r="E76" s="48"/>
      <c r="F76"/>
      <c r="G76"/>
      <c r="H76"/>
    </row>
    <row r="77" spans="1:8" ht="16.5" outlineLevel="1" thickTop="1" thickBot="1" x14ac:dyDescent="0.3">
      <c r="A77" s="71"/>
      <c r="B77" s="71">
        <v>-14</v>
      </c>
      <c r="C77"/>
      <c r="D77" s="31"/>
      <c r="E77" s="48"/>
      <c r="F77"/>
      <c r="G77"/>
      <c r="H77"/>
    </row>
    <row r="78" spans="1:8" ht="16.5" outlineLevel="1" thickTop="1" thickBot="1" x14ac:dyDescent="0.3">
      <c r="A78" s="71"/>
      <c r="B78" s="71">
        <v>-13</v>
      </c>
      <c r="C78"/>
      <c r="D78" s="31"/>
      <c r="E78" s="48"/>
      <c r="F78"/>
      <c r="G78"/>
      <c r="H78"/>
    </row>
    <row r="79" spans="1:8" ht="16.5" outlineLevel="1" thickTop="1" thickBot="1" x14ac:dyDescent="0.3">
      <c r="A79" s="71"/>
      <c r="B79" s="71">
        <v>-12</v>
      </c>
      <c r="C79"/>
      <c r="D79" s="31"/>
      <c r="E79" s="48"/>
      <c r="F79"/>
      <c r="G79"/>
      <c r="H79"/>
    </row>
    <row r="80" spans="1:8" ht="16.5" outlineLevel="1" thickTop="1" thickBot="1" x14ac:dyDescent="0.3">
      <c r="A80" s="71"/>
      <c r="B80" s="71">
        <v>-11</v>
      </c>
      <c r="C80"/>
      <c r="D80" s="31"/>
      <c r="E80" s="48"/>
      <c r="F80"/>
      <c r="G80"/>
      <c r="H80"/>
    </row>
    <row r="81" spans="1:8" ht="16.5" outlineLevel="1" thickTop="1" thickBot="1" x14ac:dyDescent="0.3">
      <c r="A81" s="71"/>
      <c r="B81" s="71">
        <v>-10</v>
      </c>
      <c r="C81"/>
      <c r="D81" s="31"/>
      <c r="E81" s="48"/>
      <c r="F81"/>
      <c r="G81"/>
      <c r="H81"/>
    </row>
    <row r="82" spans="1:8" ht="16.5" outlineLevel="1" thickTop="1" thickBot="1" x14ac:dyDescent="0.3">
      <c r="A82" s="71"/>
      <c r="B82" s="71">
        <v>-9</v>
      </c>
      <c r="C82"/>
      <c r="D82" s="31"/>
      <c r="E82" s="48"/>
      <c r="F82"/>
      <c r="G82"/>
      <c r="H82"/>
    </row>
    <row r="83" spans="1:8" ht="16.5" outlineLevel="1" thickTop="1" thickBot="1" x14ac:dyDescent="0.3">
      <c r="A83" s="71"/>
      <c r="B83" s="71">
        <v>-8</v>
      </c>
      <c r="C83"/>
      <c r="D83" s="31"/>
      <c r="E83" s="48"/>
      <c r="F83"/>
      <c r="G83"/>
      <c r="H83"/>
    </row>
    <row r="84" spans="1:8" ht="16.5" outlineLevel="1" thickTop="1" thickBot="1" x14ac:dyDescent="0.3">
      <c r="A84" s="71"/>
      <c r="B84" s="71">
        <v>-7</v>
      </c>
      <c r="C84"/>
      <c r="D84" s="31"/>
      <c r="E84" s="48"/>
      <c r="F84"/>
      <c r="G84"/>
      <c r="H84"/>
    </row>
    <row r="85" spans="1:8" ht="16.5" outlineLevel="1" thickTop="1" thickBot="1" x14ac:dyDescent="0.3">
      <c r="A85" s="71"/>
      <c r="B85" s="71">
        <v>-6</v>
      </c>
      <c r="C85"/>
      <c r="D85" s="31"/>
      <c r="E85" s="48"/>
      <c r="F85"/>
      <c r="G85"/>
      <c r="H85"/>
    </row>
    <row r="86" spans="1:8" ht="16.5" outlineLevel="1" thickTop="1" thickBot="1" x14ac:dyDescent="0.3">
      <c r="A86" s="71"/>
      <c r="B86" s="71">
        <v>-5</v>
      </c>
      <c r="C86"/>
      <c r="D86" s="31"/>
      <c r="E86" s="48"/>
      <c r="F86"/>
      <c r="G86"/>
      <c r="H86"/>
    </row>
    <row r="87" spans="1:8" ht="16.5" outlineLevel="1" thickTop="1" thickBot="1" x14ac:dyDescent="0.3">
      <c r="A87" s="71"/>
      <c r="B87" s="71">
        <v>-4</v>
      </c>
      <c r="C87"/>
      <c r="D87" s="31"/>
      <c r="E87" s="48"/>
      <c r="F87"/>
      <c r="G87"/>
      <c r="H87"/>
    </row>
    <row r="88" spans="1:8" ht="16.5" outlineLevel="1" thickTop="1" thickBot="1" x14ac:dyDescent="0.3">
      <c r="A88" s="71"/>
      <c r="B88" s="71">
        <v>-3</v>
      </c>
      <c r="C88"/>
      <c r="D88" s="31"/>
      <c r="E88" s="48"/>
      <c r="F88"/>
      <c r="G88"/>
      <c r="H88"/>
    </row>
    <row r="89" spans="1:8" ht="16.5" outlineLevel="1" thickTop="1" thickBot="1" x14ac:dyDescent="0.3">
      <c r="A89" s="71"/>
      <c r="B89" s="71">
        <v>-2</v>
      </c>
      <c r="C89"/>
      <c r="D89" s="31"/>
      <c r="E89" s="48"/>
      <c r="F89"/>
      <c r="G89"/>
      <c r="H89"/>
    </row>
    <row r="90" spans="1:8" ht="16.5" outlineLevel="1" thickTop="1" thickBot="1" x14ac:dyDescent="0.3">
      <c r="A90" s="71" t="s">
        <v>322</v>
      </c>
      <c r="B90" s="71">
        <v>-1</v>
      </c>
      <c r="C90"/>
      <c r="D90" s="31"/>
      <c r="E90" s="48"/>
      <c r="F90"/>
      <c r="G90"/>
      <c r="H90"/>
    </row>
    <row r="91" spans="1:8" ht="16.5" outlineLevel="1" thickTop="1" thickBot="1" x14ac:dyDescent="0.3">
      <c r="A91" s="71" t="s">
        <v>319</v>
      </c>
      <c r="B91" s="71">
        <v>0</v>
      </c>
      <c r="C91"/>
      <c r="D91" s="31"/>
      <c r="E91" s="48"/>
      <c r="F91"/>
      <c r="G91"/>
      <c r="H91"/>
    </row>
    <row r="92" spans="1:8" ht="16.5" outlineLevel="1" thickTop="1" thickBot="1" x14ac:dyDescent="0.3">
      <c r="A92" s="71">
        <v>35</v>
      </c>
      <c r="B92" s="71">
        <v>1</v>
      </c>
      <c r="C92"/>
      <c r="D92" s="31"/>
      <c r="E92" s="48"/>
      <c r="F92"/>
      <c r="G92"/>
      <c r="H92"/>
    </row>
    <row r="93" spans="1:8" ht="16.5" outlineLevel="1" thickTop="1" thickBot="1" x14ac:dyDescent="0.3">
      <c r="A93" s="71">
        <v>38</v>
      </c>
      <c r="B93" s="71">
        <v>2</v>
      </c>
      <c r="C93"/>
      <c r="D93" s="31"/>
      <c r="E93" s="48"/>
      <c r="F93"/>
      <c r="G93"/>
      <c r="H93"/>
    </row>
    <row r="94" spans="1:8" ht="16.5" outlineLevel="1" thickTop="1" thickBot="1" x14ac:dyDescent="0.3">
      <c r="A94" s="71">
        <v>40</v>
      </c>
      <c r="B94" s="71">
        <v>3</v>
      </c>
      <c r="C94"/>
      <c r="D94" s="31"/>
      <c r="E94" s="48"/>
      <c r="F94" s="48"/>
      <c r="G94"/>
      <c r="H94"/>
    </row>
    <row r="95" spans="1:8" ht="16.5" outlineLevel="1" thickTop="1" thickBot="1" x14ac:dyDescent="0.3">
      <c r="A95" s="71">
        <v>43</v>
      </c>
      <c r="B95" s="71">
        <v>4</v>
      </c>
      <c r="C95"/>
      <c r="D95" s="31"/>
      <c r="E95" s="48"/>
      <c r="F95" s="48"/>
      <c r="G95"/>
      <c r="H95"/>
    </row>
    <row r="96" spans="1:8" ht="16.5" outlineLevel="1" thickTop="1" thickBot="1" x14ac:dyDescent="0.3">
      <c r="A96" s="71">
        <v>46</v>
      </c>
      <c r="B96" s="71">
        <v>5</v>
      </c>
      <c r="C96"/>
      <c r="D96" s="31"/>
      <c r="E96" s="48"/>
      <c r="F96" s="48"/>
      <c r="G96"/>
      <c r="H96"/>
    </row>
    <row r="97" spans="1:8" ht="16.5" outlineLevel="1" thickTop="1" thickBot="1" x14ac:dyDescent="0.3">
      <c r="A97" s="71">
        <v>49</v>
      </c>
      <c r="B97" s="71">
        <v>6</v>
      </c>
      <c r="C97"/>
      <c r="D97" s="31"/>
      <c r="E97" s="48"/>
      <c r="F97" s="48"/>
      <c r="G97"/>
      <c r="H97"/>
    </row>
    <row r="98" spans="1:8" ht="16.5" outlineLevel="1" thickTop="1" thickBot="1" x14ac:dyDescent="0.3">
      <c r="A98" s="71">
        <v>52</v>
      </c>
      <c r="B98" s="71">
        <v>7</v>
      </c>
      <c r="C98"/>
      <c r="D98" s="31"/>
      <c r="E98" s="48"/>
      <c r="F98" s="48"/>
      <c r="G98"/>
      <c r="H98"/>
    </row>
    <row r="99" spans="1:8" ht="16.5" outlineLevel="1" thickTop="1" thickBot="1" x14ac:dyDescent="0.3">
      <c r="A99" s="71">
        <v>54</v>
      </c>
      <c r="B99" s="71">
        <v>8</v>
      </c>
      <c r="C99"/>
      <c r="D99" s="31"/>
      <c r="E99" s="48"/>
      <c r="F99" s="48"/>
      <c r="G99"/>
      <c r="H99"/>
    </row>
    <row r="100" spans="1:8" ht="16.5" outlineLevel="1" thickTop="1" thickBot="1" x14ac:dyDescent="0.3">
      <c r="A100" s="71">
        <v>57</v>
      </c>
      <c r="B100" s="71">
        <v>9</v>
      </c>
      <c r="C100"/>
      <c r="D100" s="31"/>
      <c r="E100" s="48"/>
      <c r="F100" s="48"/>
      <c r="G100"/>
      <c r="H100"/>
    </row>
    <row r="101" spans="1:8" ht="16.5" outlineLevel="1" thickTop="1" thickBot="1" x14ac:dyDescent="0.3">
      <c r="A101" s="71">
        <v>60</v>
      </c>
      <c r="B101" s="71">
        <v>10</v>
      </c>
      <c r="C101"/>
      <c r="D101" s="31"/>
      <c r="E101" s="48"/>
      <c r="F101" s="48"/>
      <c r="G101"/>
      <c r="H101"/>
    </row>
    <row r="102" spans="1:8" ht="16.5" outlineLevel="1" thickTop="1" thickBot="1" x14ac:dyDescent="0.3">
      <c r="A102" s="71">
        <v>63</v>
      </c>
      <c r="B102" s="71">
        <v>11</v>
      </c>
      <c r="C102"/>
      <c r="D102" s="31"/>
      <c r="E102" s="48"/>
      <c r="F102" s="48"/>
      <c r="G102"/>
      <c r="H102"/>
    </row>
    <row r="103" spans="1:8" ht="16.5" outlineLevel="1" thickTop="1" thickBot="1" x14ac:dyDescent="0.3">
      <c r="A103" s="71">
        <v>66</v>
      </c>
      <c r="B103" s="71">
        <v>12</v>
      </c>
      <c r="C103"/>
      <c r="D103" s="31"/>
      <c r="E103" s="48"/>
      <c r="F103" s="48"/>
      <c r="G103"/>
      <c r="H103"/>
    </row>
    <row r="104" spans="1:8" ht="16.5" outlineLevel="1" thickTop="1" thickBot="1" x14ac:dyDescent="0.3">
      <c r="A104" s="71">
        <v>68</v>
      </c>
      <c r="B104" s="71">
        <v>13</v>
      </c>
      <c r="C104"/>
      <c r="D104" s="31"/>
      <c r="E104" s="48"/>
      <c r="F104" s="48"/>
      <c r="G104"/>
      <c r="H104"/>
    </row>
    <row r="105" spans="1:8" ht="16.5" outlineLevel="1" thickTop="1" thickBot="1" x14ac:dyDescent="0.3">
      <c r="A105" s="71">
        <v>71</v>
      </c>
      <c r="B105" s="71">
        <v>14</v>
      </c>
      <c r="C105"/>
      <c r="D105" s="31"/>
      <c r="E105" s="48"/>
      <c r="F105" s="48"/>
      <c r="G105"/>
      <c r="H105"/>
    </row>
    <row r="106" spans="1:8" ht="16.5" outlineLevel="1" thickTop="1" thickBot="1" x14ac:dyDescent="0.3">
      <c r="A106" s="71">
        <v>74</v>
      </c>
      <c r="B106" s="71">
        <v>15</v>
      </c>
      <c r="C106"/>
      <c r="D106" s="31"/>
      <c r="E106" s="48"/>
      <c r="F106" s="48"/>
      <c r="G106"/>
      <c r="H106"/>
    </row>
    <row r="107" spans="1:8" ht="16.5" outlineLevel="1" thickTop="1" thickBot="1" x14ac:dyDescent="0.3">
      <c r="A107" s="71">
        <v>77</v>
      </c>
      <c r="B107" s="71">
        <v>16</v>
      </c>
      <c r="C107"/>
      <c r="D107" s="31"/>
      <c r="E107" s="48"/>
      <c r="F107" s="48"/>
      <c r="G107"/>
      <c r="H107"/>
    </row>
    <row r="108" spans="1:8" ht="16.5" outlineLevel="1" thickTop="1" thickBot="1" x14ac:dyDescent="0.3">
      <c r="A108" s="71">
        <v>80</v>
      </c>
      <c r="B108" s="71">
        <v>17</v>
      </c>
      <c r="C108"/>
      <c r="D108" s="31"/>
      <c r="E108" s="48"/>
      <c r="F108" s="48"/>
      <c r="G108"/>
      <c r="H108"/>
    </row>
    <row r="109" spans="1:8" ht="16.5" outlineLevel="1" thickTop="1" thickBot="1" x14ac:dyDescent="0.3">
      <c r="A109" s="71">
        <v>82</v>
      </c>
      <c r="B109" s="71">
        <v>18</v>
      </c>
      <c r="C109"/>
      <c r="D109" s="31"/>
      <c r="E109" s="48"/>
      <c r="F109" s="48"/>
      <c r="G109"/>
      <c r="H109"/>
    </row>
    <row r="110" spans="1:8" ht="16.5" outlineLevel="1" thickTop="1" thickBot="1" x14ac:dyDescent="0.3">
      <c r="A110" s="71">
        <v>85</v>
      </c>
      <c r="B110" s="71">
        <v>19</v>
      </c>
      <c r="C110"/>
      <c r="D110" s="31"/>
      <c r="E110" s="48"/>
      <c r="F110" s="48"/>
      <c r="G110"/>
      <c r="H110"/>
    </row>
    <row r="111" spans="1:8" ht="16.5" outlineLevel="1" thickTop="1" thickBot="1" x14ac:dyDescent="0.3">
      <c r="A111" s="71">
        <v>88</v>
      </c>
      <c r="B111" s="71">
        <v>20</v>
      </c>
      <c r="C111"/>
      <c r="D111" s="31"/>
      <c r="E111" s="48"/>
      <c r="F111" s="48"/>
      <c r="G111"/>
      <c r="H111"/>
    </row>
    <row r="112" spans="1:8" ht="16.5" outlineLevel="1" thickTop="1" thickBot="1" x14ac:dyDescent="0.3">
      <c r="A112" s="71">
        <v>91</v>
      </c>
      <c r="B112" s="71">
        <v>21</v>
      </c>
      <c r="C112"/>
      <c r="D112" s="31"/>
      <c r="E112" s="48"/>
      <c r="F112" s="48"/>
      <c r="G112"/>
      <c r="H112"/>
    </row>
    <row r="113" spans="1:8" ht="16.5" outlineLevel="1" thickTop="1" thickBot="1" x14ac:dyDescent="0.3">
      <c r="A113" s="72">
        <v>94</v>
      </c>
      <c r="B113" s="71">
        <v>22</v>
      </c>
      <c r="C113"/>
      <c r="D113" s="31"/>
      <c r="E113" s="48"/>
      <c r="F113" s="48"/>
      <c r="G113"/>
      <c r="H113"/>
    </row>
    <row r="114" spans="1:8" ht="16.5" outlineLevel="1" thickTop="1" thickBot="1" x14ac:dyDescent="0.3">
      <c r="A114" s="72">
        <v>96</v>
      </c>
      <c r="B114" s="71">
        <v>23</v>
      </c>
      <c r="C114"/>
      <c r="D114" s="31"/>
      <c r="E114" s="48"/>
      <c r="F114" s="48"/>
      <c r="G114"/>
      <c r="H114"/>
    </row>
    <row r="115" spans="1:8" ht="16.5" outlineLevel="1" thickTop="1" thickBot="1" x14ac:dyDescent="0.3">
      <c r="A115" s="72">
        <v>98</v>
      </c>
      <c r="B115" s="71">
        <v>23</v>
      </c>
      <c r="C115"/>
      <c r="D115" s="31"/>
      <c r="E115" s="48"/>
      <c r="F115" s="48"/>
      <c r="G115"/>
      <c r="H115"/>
    </row>
    <row r="116" spans="1:8" ht="16.5" outlineLevel="1" thickTop="1" thickBot="1" x14ac:dyDescent="0.3">
      <c r="A116" s="72">
        <v>99</v>
      </c>
      <c r="B116" s="71">
        <v>23</v>
      </c>
      <c r="C116"/>
      <c r="D116" s="31"/>
      <c r="E116" s="48"/>
      <c r="F116" s="48"/>
      <c r="G116"/>
      <c r="H116"/>
    </row>
    <row r="117" spans="1:8" ht="16.5" outlineLevel="1" thickTop="1" thickBot="1" x14ac:dyDescent="0.3">
      <c r="A117" s="72">
        <v>100</v>
      </c>
      <c r="B117" s="72">
        <v>24</v>
      </c>
      <c r="C117"/>
      <c r="D117" s="31"/>
      <c r="E117"/>
      <c r="F117"/>
      <c r="G117"/>
      <c r="H117"/>
    </row>
    <row r="118" spans="1:8" ht="16.5" outlineLevel="1" thickTop="1" thickBot="1" x14ac:dyDescent="0.3">
      <c r="A118" s="72">
        <v>101</v>
      </c>
      <c r="B118" s="72">
        <f>B117</f>
        <v>24</v>
      </c>
      <c r="C118"/>
      <c r="D118" s="31"/>
      <c r="E118"/>
      <c r="F118"/>
      <c r="G118"/>
      <c r="H118"/>
    </row>
    <row r="119" spans="1:8" ht="16.5" outlineLevel="1" thickTop="1" thickBot="1" x14ac:dyDescent="0.3">
      <c r="A119" s="72">
        <v>102</v>
      </c>
      <c r="B119" s="72">
        <f>B117</f>
        <v>24</v>
      </c>
      <c r="C119"/>
      <c r="D119" s="31"/>
      <c r="E119"/>
      <c r="F119"/>
      <c r="G119"/>
      <c r="H119"/>
    </row>
    <row r="120" spans="1:8" ht="16.5" outlineLevel="1" thickTop="1" thickBot="1" x14ac:dyDescent="0.3">
      <c r="A120" s="72">
        <v>103</v>
      </c>
      <c r="B120" s="72">
        <v>25</v>
      </c>
      <c r="C120"/>
      <c r="D120" s="31"/>
      <c r="E120"/>
      <c r="F120"/>
      <c r="G120"/>
      <c r="H120"/>
    </row>
    <row r="121" spans="1:8" ht="16.5" outlineLevel="1" thickTop="1" thickBot="1" x14ac:dyDescent="0.3">
      <c r="A121" s="72">
        <v>104</v>
      </c>
      <c r="B121" s="72">
        <f>B120</f>
        <v>25</v>
      </c>
      <c r="C121"/>
      <c r="D121" s="31"/>
      <c r="E121"/>
      <c r="F121"/>
      <c r="G121"/>
      <c r="H121"/>
    </row>
    <row r="122" spans="1:8" ht="16.5" outlineLevel="1" thickTop="1" thickBot="1" x14ac:dyDescent="0.3">
      <c r="A122" s="72">
        <v>105</v>
      </c>
      <c r="B122" s="72">
        <f>B120</f>
        <v>25</v>
      </c>
      <c r="C122"/>
      <c r="D122" s="31"/>
      <c r="E122"/>
      <c r="F122"/>
      <c r="G122"/>
      <c r="H122"/>
    </row>
    <row r="123" spans="1:8" ht="16.5" outlineLevel="1" thickTop="1" thickBot="1" x14ac:dyDescent="0.3">
      <c r="A123" s="72">
        <v>106</v>
      </c>
      <c r="B123" s="72">
        <v>26</v>
      </c>
      <c r="C123"/>
      <c r="D123" s="31"/>
      <c r="E123" s="27">
        <v>106</v>
      </c>
      <c r="F123" s="4">
        <v>26</v>
      </c>
      <c r="G123" t="s">
        <v>122</v>
      </c>
      <c r="H123"/>
    </row>
    <row r="124" spans="1:8" ht="16.5" outlineLevel="1" thickTop="1" thickBot="1" x14ac:dyDescent="0.3">
      <c r="A124" s="72">
        <v>107</v>
      </c>
      <c r="B124" s="72">
        <f>B123</f>
        <v>26</v>
      </c>
      <c r="C124"/>
      <c r="D124" s="31"/>
      <c r="E124" s="27">
        <v>109</v>
      </c>
      <c r="F124" s="4">
        <v>27</v>
      </c>
      <c r="G124" t="s">
        <v>122</v>
      </c>
      <c r="H124"/>
    </row>
    <row r="125" spans="1:8" ht="16.5" outlineLevel="1" thickTop="1" thickBot="1" x14ac:dyDescent="0.3">
      <c r="A125" s="72">
        <v>108</v>
      </c>
      <c r="B125" s="72">
        <v>27</v>
      </c>
      <c r="C125"/>
      <c r="D125" s="31"/>
      <c r="E125" s="27">
        <v>112</v>
      </c>
      <c r="F125" s="4">
        <v>28</v>
      </c>
      <c r="G125" t="s">
        <v>122</v>
      </c>
      <c r="H125"/>
    </row>
    <row r="126" spans="1:8" ht="16.5" outlineLevel="1" thickTop="1" thickBot="1" x14ac:dyDescent="0.3">
      <c r="A126" s="72">
        <v>109</v>
      </c>
      <c r="B126" s="72">
        <v>27</v>
      </c>
      <c r="C126"/>
      <c r="D126" s="31"/>
      <c r="E126" s="27">
        <v>115</v>
      </c>
      <c r="F126" s="4">
        <v>29</v>
      </c>
      <c r="G126" t="s">
        <v>122</v>
      </c>
      <c r="H126"/>
    </row>
    <row r="127" spans="1:8" ht="16.5" outlineLevel="1" thickTop="1" thickBot="1" x14ac:dyDescent="0.3">
      <c r="A127" s="72">
        <v>110</v>
      </c>
      <c r="B127" s="72">
        <v>28</v>
      </c>
      <c r="C127"/>
      <c r="D127" s="31"/>
      <c r="E127" s="27">
        <v>118</v>
      </c>
      <c r="F127" s="4">
        <v>30</v>
      </c>
      <c r="G127" t="s">
        <v>122</v>
      </c>
      <c r="H127"/>
    </row>
    <row r="128" spans="1:8" ht="16.5" outlineLevel="1" thickTop="1" thickBot="1" x14ac:dyDescent="0.3">
      <c r="A128" s="72">
        <v>111</v>
      </c>
      <c r="B128" s="72">
        <v>28</v>
      </c>
      <c r="C128"/>
      <c r="D128" s="31"/>
      <c r="E128" s="27">
        <v>121</v>
      </c>
      <c r="F128" s="4">
        <v>31</v>
      </c>
      <c r="G128" t="s">
        <v>122</v>
      </c>
      <c r="H128"/>
    </row>
    <row r="129" spans="1:8" ht="16.5" outlineLevel="1" thickTop="1" thickBot="1" x14ac:dyDescent="0.3">
      <c r="A129" s="72">
        <v>112</v>
      </c>
      <c r="B129" s="72">
        <v>28</v>
      </c>
      <c r="C129"/>
      <c r="D129" s="31"/>
      <c r="E129" s="27">
        <v>124</v>
      </c>
      <c r="F129" s="4">
        <v>32</v>
      </c>
      <c r="G129" t="s">
        <v>122</v>
      </c>
      <c r="H129"/>
    </row>
    <row r="130" spans="1:8" ht="16.5" outlineLevel="1" thickTop="1" thickBot="1" x14ac:dyDescent="0.3">
      <c r="A130" s="72">
        <v>113</v>
      </c>
      <c r="B130" s="72">
        <v>29</v>
      </c>
      <c r="C130"/>
      <c r="D130" s="31"/>
      <c r="E130" s="27">
        <v>127</v>
      </c>
      <c r="F130" s="4">
        <v>33</v>
      </c>
      <c r="G130" t="s">
        <v>122</v>
      </c>
      <c r="H130"/>
    </row>
    <row r="131" spans="1:8" ht="16.5" outlineLevel="1" thickTop="1" thickBot="1" x14ac:dyDescent="0.3">
      <c r="A131" s="72">
        <v>114</v>
      </c>
      <c r="B131" s="72">
        <v>29</v>
      </c>
      <c r="C131"/>
      <c r="D131" s="31"/>
      <c r="E131" s="27">
        <v>130</v>
      </c>
      <c r="F131" s="4">
        <v>34</v>
      </c>
      <c r="G131" t="s">
        <v>122</v>
      </c>
      <c r="H131"/>
    </row>
    <row r="132" spans="1:8" ht="16.5" outlineLevel="1" thickTop="1" thickBot="1" x14ac:dyDescent="0.3">
      <c r="A132" s="72">
        <v>115</v>
      </c>
      <c r="B132" s="72">
        <v>29</v>
      </c>
      <c r="C132"/>
      <c r="D132" s="31"/>
      <c r="E132" s="27">
        <v>133</v>
      </c>
      <c r="F132" s="4">
        <v>35</v>
      </c>
      <c r="G132" t="s">
        <v>122</v>
      </c>
      <c r="H132"/>
    </row>
    <row r="133" spans="1:8" ht="16.5" outlineLevel="1" thickTop="1" thickBot="1" x14ac:dyDescent="0.3">
      <c r="A133" s="72">
        <v>116</v>
      </c>
      <c r="B133" s="72">
        <f>B132</f>
        <v>29</v>
      </c>
      <c r="C133"/>
      <c r="D133" s="31"/>
      <c r="E133" s="27">
        <v>136</v>
      </c>
      <c r="F133" s="4">
        <v>36</v>
      </c>
      <c r="G133" t="s">
        <v>122</v>
      </c>
      <c r="H133"/>
    </row>
    <row r="134" spans="1:8" ht="16.5" outlineLevel="1" thickTop="1" thickBot="1" x14ac:dyDescent="0.3">
      <c r="A134" s="72">
        <v>117</v>
      </c>
      <c r="B134" s="72">
        <f>B132</f>
        <v>29</v>
      </c>
      <c r="C134"/>
      <c r="D134" s="31"/>
      <c r="E134" s="27">
        <v>139</v>
      </c>
      <c r="F134" s="4">
        <v>37</v>
      </c>
      <c r="G134" t="s">
        <v>122</v>
      </c>
      <c r="H134"/>
    </row>
    <row r="135" spans="1:8" ht="16.5" outlineLevel="1" thickTop="1" thickBot="1" x14ac:dyDescent="0.3">
      <c r="A135" s="72">
        <v>118</v>
      </c>
      <c r="B135" s="72">
        <v>30</v>
      </c>
      <c r="C135"/>
      <c r="D135" s="31"/>
      <c r="E135" s="27">
        <v>142</v>
      </c>
      <c r="F135" s="4">
        <v>38</v>
      </c>
      <c r="G135" t="s">
        <v>122</v>
      </c>
      <c r="H135"/>
    </row>
    <row r="136" spans="1:8" ht="16.5" outlineLevel="1" thickTop="1" thickBot="1" x14ac:dyDescent="0.3">
      <c r="A136" s="72">
        <v>119</v>
      </c>
      <c r="B136" s="72">
        <f>B135</f>
        <v>30</v>
      </c>
      <c r="C136"/>
      <c r="D136" s="31"/>
      <c r="E136" s="27">
        <v>145</v>
      </c>
      <c r="F136" s="4">
        <v>39</v>
      </c>
      <c r="G136" t="s">
        <v>122</v>
      </c>
      <c r="H136"/>
    </row>
    <row r="137" spans="1:8" ht="16.5" outlineLevel="1" thickTop="1" thickBot="1" x14ac:dyDescent="0.3">
      <c r="A137" s="72">
        <v>120</v>
      </c>
      <c r="B137" s="72">
        <f>B135</f>
        <v>30</v>
      </c>
      <c r="C137"/>
      <c r="D137" s="31"/>
      <c r="E137" s="27">
        <v>148</v>
      </c>
      <c r="F137" s="4">
        <v>40</v>
      </c>
      <c r="G137" t="s">
        <v>122</v>
      </c>
      <c r="H137"/>
    </row>
    <row r="138" spans="1:8" ht="16.5" outlineLevel="1" thickTop="1" thickBot="1" x14ac:dyDescent="0.3">
      <c r="A138" s="72">
        <v>121</v>
      </c>
      <c r="B138" s="72">
        <v>31</v>
      </c>
      <c r="C138"/>
      <c r="D138" s="31"/>
      <c r="E138" s="27">
        <v>151</v>
      </c>
      <c r="F138" s="4">
        <v>41</v>
      </c>
      <c r="G138" t="s">
        <v>122</v>
      </c>
      <c r="H138"/>
    </row>
    <row r="139" spans="1:8" ht="16.5" outlineLevel="1" thickTop="1" thickBot="1" x14ac:dyDescent="0.3">
      <c r="A139" s="72">
        <v>122</v>
      </c>
      <c r="B139" s="72">
        <f>B138</f>
        <v>31</v>
      </c>
      <c r="C139"/>
      <c r="D139" s="31"/>
      <c r="E139" s="27">
        <v>154</v>
      </c>
      <c r="F139" s="4">
        <v>42</v>
      </c>
      <c r="G139" t="s">
        <v>122</v>
      </c>
      <c r="H139"/>
    </row>
    <row r="140" spans="1:8" ht="16.5" outlineLevel="1" thickTop="1" thickBot="1" x14ac:dyDescent="0.3">
      <c r="A140" s="72">
        <v>123</v>
      </c>
      <c r="B140" s="72">
        <f>B138</f>
        <v>31</v>
      </c>
      <c r="C140"/>
      <c r="D140" s="31"/>
      <c r="E140" s="27">
        <v>157</v>
      </c>
      <c r="F140" s="4">
        <v>43</v>
      </c>
      <c r="G140" t="s">
        <v>122</v>
      </c>
      <c r="H140"/>
    </row>
    <row r="141" spans="1:8" ht="16.5" outlineLevel="1" thickTop="1" thickBot="1" x14ac:dyDescent="0.3">
      <c r="A141" s="72">
        <v>123</v>
      </c>
      <c r="B141" s="72">
        <v>32</v>
      </c>
      <c r="C141"/>
      <c r="D141" s="31"/>
      <c r="E141" s="27">
        <v>160</v>
      </c>
      <c r="F141" s="4">
        <v>44</v>
      </c>
      <c r="G141" t="s">
        <v>122</v>
      </c>
      <c r="H141"/>
    </row>
    <row r="142" spans="1:8" ht="16.5" outlineLevel="1" thickTop="1" thickBot="1" x14ac:dyDescent="0.3">
      <c r="A142" s="72">
        <v>123</v>
      </c>
      <c r="B142" s="72">
        <v>32</v>
      </c>
      <c r="C142" s="49"/>
      <c r="D142" s="31"/>
      <c r="E142" s="27">
        <v>163</v>
      </c>
      <c r="F142" s="4">
        <v>45</v>
      </c>
      <c r="G142" t="s">
        <v>122</v>
      </c>
      <c r="H142"/>
    </row>
    <row r="143" spans="1:8" ht="16.5" outlineLevel="1" thickTop="1" thickBot="1" x14ac:dyDescent="0.3">
      <c r="A143" s="72">
        <v>123</v>
      </c>
      <c r="B143" s="72">
        <v>32</v>
      </c>
      <c r="C143" s="49"/>
      <c r="D143" s="31"/>
      <c r="E143"/>
      <c r="F143"/>
      <c r="G143"/>
      <c r="H143"/>
    </row>
    <row r="144" spans="1:8" ht="16.5" outlineLevel="1" thickTop="1" thickBot="1" x14ac:dyDescent="0.3">
      <c r="A144" s="73">
        <v>124</v>
      </c>
      <c r="B144" s="74">
        <v>33</v>
      </c>
      <c r="C144" s="2" t="s">
        <v>122</v>
      </c>
      <c r="D144" s="31"/>
      <c r="E144"/>
      <c r="F144"/>
      <c r="G144"/>
      <c r="H144"/>
    </row>
    <row r="145" spans="1:8" ht="16.5" outlineLevel="1" thickTop="1" thickBot="1" x14ac:dyDescent="0.3">
      <c r="A145" s="73">
        <v>128</v>
      </c>
      <c r="B145" s="73">
        <f>B144</f>
        <v>33</v>
      </c>
      <c r="C145" s="49"/>
      <c r="D145" s="31"/>
      <c r="E145"/>
      <c r="F145"/>
      <c r="G145"/>
      <c r="H145"/>
    </row>
    <row r="146" spans="1:8" ht="16.5" outlineLevel="1" thickTop="1" thickBot="1" x14ac:dyDescent="0.3">
      <c r="A146" s="73">
        <v>129</v>
      </c>
      <c r="B146" s="73">
        <f>B144</f>
        <v>33</v>
      </c>
      <c r="C146" s="49"/>
      <c r="D146" s="31"/>
      <c r="E146"/>
      <c r="F146"/>
      <c r="G146"/>
      <c r="H146"/>
    </row>
    <row r="147" spans="1:8" ht="16.5" outlineLevel="1" thickTop="1" thickBot="1" x14ac:dyDescent="0.3">
      <c r="A147" s="73">
        <v>130</v>
      </c>
      <c r="B147" s="74">
        <v>34</v>
      </c>
      <c r="C147" s="2" t="s">
        <v>122</v>
      </c>
      <c r="D147" s="31"/>
      <c r="E147"/>
      <c r="F147"/>
      <c r="G147"/>
      <c r="H147"/>
    </row>
    <row r="148" spans="1:8" ht="16.5" outlineLevel="1" thickTop="1" thickBot="1" x14ac:dyDescent="0.3">
      <c r="A148" s="73">
        <v>131</v>
      </c>
      <c r="B148" s="73">
        <f>B147</f>
        <v>34</v>
      </c>
      <c r="C148" s="49"/>
      <c r="D148" s="31"/>
      <c r="E148"/>
      <c r="F148"/>
      <c r="G148"/>
      <c r="H148"/>
    </row>
    <row r="149" spans="1:8" ht="16.5" outlineLevel="1" thickTop="1" thickBot="1" x14ac:dyDescent="0.3">
      <c r="A149" s="73">
        <v>132</v>
      </c>
      <c r="B149" s="73">
        <f>B147</f>
        <v>34</v>
      </c>
      <c r="C149" s="49"/>
      <c r="D149" s="31"/>
      <c r="E149"/>
      <c r="F149"/>
      <c r="G149"/>
      <c r="H149"/>
    </row>
    <row r="150" spans="1:8" ht="16.5" outlineLevel="1" thickTop="1" thickBot="1" x14ac:dyDescent="0.3">
      <c r="A150" s="73">
        <v>133</v>
      </c>
      <c r="B150" s="74">
        <v>35</v>
      </c>
      <c r="C150" s="2" t="s">
        <v>122</v>
      </c>
      <c r="D150" s="31"/>
      <c r="E150"/>
      <c r="F150"/>
      <c r="G150"/>
      <c r="H150"/>
    </row>
    <row r="151" spans="1:8" ht="16.5" outlineLevel="1" thickTop="1" thickBot="1" x14ac:dyDescent="0.3">
      <c r="A151" s="73">
        <v>134</v>
      </c>
      <c r="B151" s="73">
        <f>B150</f>
        <v>35</v>
      </c>
      <c r="C151" s="49"/>
      <c r="D151" s="31"/>
      <c r="E151"/>
      <c r="F151"/>
      <c r="G151"/>
      <c r="H151"/>
    </row>
    <row r="152" spans="1:8" ht="16.5" outlineLevel="1" thickTop="1" thickBot="1" x14ac:dyDescent="0.3">
      <c r="A152" s="73">
        <v>135</v>
      </c>
      <c r="B152" s="73">
        <f>B150</f>
        <v>35</v>
      </c>
      <c r="C152" s="49"/>
      <c r="D152" s="31"/>
      <c r="E152"/>
      <c r="F152"/>
      <c r="G152"/>
      <c r="H152"/>
    </row>
    <row r="153" spans="1:8" ht="16.5" outlineLevel="1" thickTop="1" thickBot="1" x14ac:dyDescent="0.3">
      <c r="A153" s="73">
        <v>136</v>
      </c>
      <c r="B153" s="74">
        <v>36</v>
      </c>
      <c r="C153" s="2" t="s">
        <v>122</v>
      </c>
      <c r="D153" s="31"/>
      <c r="E153"/>
      <c r="F153"/>
      <c r="G153"/>
      <c r="H153"/>
    </row>
    <row r="154" spans="1:8" ht="16.5" outlineLevel="1" thickTop="1" thickBot="1" x14ac:dyDescent="0.3">
      <c r="A154" s="73">
        <v>137</v>
      </c>
      <c r="B154" s="73">
        <f>B153</f>
        <v>36</v>
      </c>
      <c r="C154" s="49"/>
      <c r="D154" s="31"/>
      <c r="E154"/>
      <c r="F154"/>
      <c r="G154"/>
      <c r="H154"/>
    </row>
    <row r="155" spans="1:8" ht="16.5" outlineLevel="1" thickTop="1" thickBot="1" x14ac:dyDescent="0.3">
      <c r="A155" s="73">
        <v>138</v>
      </c>
      <c r="B155" s="73">
        <f>B153</f>
        <v>36</v>
      </c>
      <c r="C155" s="49"/>
      <c r="D155" s="31"/>
      <c r="E155"/>
      <c r="F155"/>
      <c r="G155"/>
      <c r="H155"/>
    </row>
    <row r="156" spans="1:8" ht="16.5" outlineLevel="1" thickTop="1" thickBot="1" x14ac:dyDescent="0.3">
      <c r="A156" s="73">
        <v>139</v>
      </c>
      <c r="B156" s="74">
        <v>37</v>
      </c>
      <c r="C156" s="2" t="s">
        <v>122</v>
      </c>
      <c r="D156" s="31"/>
      <c r="E156"/>
      <c r="F156"/>
      <c r="G156"/>
      <c r="H156"/>
    </row>
    <row r="157" spans="1:8" ht="16.5" outlineLevel="1" thickTop="1" thickBot="1" x14ac:dyDescent="0.3">
      <c r="A157" s="73">
        <v>140</v>
      </c>
      <c r="B157" s="73">
        <f>B156</f>
        <v>37</v>
      </c>
      <c r="C157" s="49"/>
      <c r="D157" s="31"/>
      <c r="E157"/>
      <c r="F157"/>
      <c r="G157"/>
      <c r="H157"/>
    </row>
    <row r="158" spans="1:8" ht="16.5" outlineLevel="1" thickTop="1" thickBot="1" x14ac:dyDescent="0.3">
      <c r="A158" s="73">
        <v>141</v>
      </c>
      <c r="B158" s="73">
        <f>B156</f>
        <v>37</v>
      </c>
      <c r="C158" s="49"/>
      <c r="D158" s="31"/>
      <c r="E158"/>
      <c r="F158"/>
      <c r="G158"/>
      <c r="H158"/>
    </row>
    <row r="159" spans="1:8" ht="16.5" outlineLevel="1" thickTop="1" thickBot="1" x14ac:dyDescent="0.3">
      <c r="A159" s="73">
        <v>142</v>
      </c>
      <c r="B159" s="74">
        <v>38</v>
      </c>
      <c r="C159" s="2" t="s">
        <v>122</v>
      </c>
      <c r="D159" s="31"/>
      <c r="E159"/>
      <c r="F159"/>
      <c r="G159"/>
      <c r="H159"/>
    </row>
    <row r="160" spans="1:8" ht="16.5" outlineLevel="1" thickTop="1" thickBot="1" x14ac:dyDescent="0.3">
      <c r="A160" s="73">
        <v>143</v>
      </c>
      <c r="B160" s="73">
        <f>B159</f>
        <v>38</v>
      </c>
      <c r="C160" s="49"/>
      <c r="D160" s="31"/>
      <c r="E160"/>
      <c r="F160"/>
      <c r="G160"/>
      <c r="H160"/>
    </row>
    <row r="161" spans="1:8" ht="16.5" outlineLevel="1" thickTop="1" thickBot="1" x14ac:dyDescent="0.3">
      <c r="A161" s="73">
        <v>144</v>
      </c>
      <c r="B161" s="73">
        <f>B159</f>
        <v>38</v>
      </c>
      <c r="C161" s="49"/>
      <c r="D161" s="31"/>
      <c r="E161"/>
      <c r="F161"/>
      <c r="G161"/>
      <c r="H161"/>
    </row>
    <row r="162" spans="1:8" ht="16.5" outlineLevel="1" thickTop="1" thickBot="1" x14ac:dyDescent="0.3">
      <c r="A162" s="73">
        <v>145</v>
      </c>
      <c r="B162" s="74">
        <v>39</v>
      </c>
      <c r="C162" s="2" t="s">
        <v>122</v>
      </c>
      <c r="D162" s="31"/>
      <c r="E162"/>
      <c r="F162"/>
      <c r="G162"/>
      <c r="H162"/>
    </row>
    <row r="163" spans="1:8" ht="16.5" outlineLevel="1" thickTop="1" thickBot="1" x14ac:dyDescent="0.3">
      <c r="A163" s="73">
        <v>146</v>
      </c>
      <c r="B163" s="73">
        <f>B162</f>
        <v>39</v>
      </c>
      <c r="C163" s="49"/>
      <c r="D163" s="31"/>
      <c r="E163"/>
      <c r="F163"/>
      <c r="G163"/>
      <c r="H163"/>
    </row>
    <row r="164" spans="1:8" ht="16.5" outlineLevel="1" thickTop="1" thickBot="1" x14ac:dyDescent="0.3">
      <c r="A164" s="73">
        <v>147</v>
      </c>
      <c r="B164" s="73">
        <f>B162</f>
        <v>39</v>
      </c>
      <c r="C164" s="49"/>
      <c r="D164" s="31"/>
      <c r="E164"/>
      <c r="F164"/>
      <c r="G164"/>
      <c r="H164"/>
    </row>
    <row r="165" spans="1:8" ht="16.5" outlineLevel="1" thickTop="1" thickBot="1" x14ac:dyDescent="0.3">
      <c r="A165" s="73">
        <v>148</v>
      </c>
      <c r="B165" s="74">
        <v>40</v>
      </c>
      <c r="C165" s="2" t="s">
        <v>122</v>
      </c>
      <c r="D165" s="31"/>
      <c r="E165"/>
      <c r="F165"/>
      <c r="G165"/>
      <c r="H165"/>
    </row>
    <row r="166" spans="1:8" ht="16.5" outlineLevel="1" thickTop="1" thickBot="1" x14ac:dyDescent="0.3">
      <c r="A166" s="73">
        <v>149</v>
      </c>
      <c r="B166" s="73">
        <f>B165</f>
        <v>40</v>
      </c>
      <c r="C166" s="49"/>
      <c r="D166" s="31"/>
      <c r="E166"/>
      <c r="F166"/>
      <c r="G166"/>
      <c r="H166"/>
    </row>
    <row r="167" spans="1:8" ht="16.5" outlineLevel="1" thickTop="1" thickBot="1" x14ac:dyDescent="0.3">
      <c r="A167" s="73">
        <v>150</v>
      </c>
      <c r="B167" s="73">
        <f>B165</f>
        <v>40</v>
      </c>
      <c r="C167" s="49"/>
      <c r="D167" s="31"/>
      <c r="E167"/>
      <c r="F167"/>
      <c r="G167"/>
      <c r="H167"/>
    </row>
    <row r="168" spans="1:8" ht="16.5" outlineLevel="1" thickTop="1" thickBot="1" x14ac:dyDescent="0.3">
      <c r="A168" s="73">
        <v>151</v>
      </c>
      <c r="B168" s="74">
        <v>41</v>
      </c>
      <c r="C168" s="2" t="s">
        <v>122</v>
      </c>
      <c r="D168" s="31"/>
      <c r="E168"/>
      <c r="F168"/>
      <c r="G168"/>
      <c r="H168"/>
    </row>
    <row r="169" spans="1:8" ht="16.5" outlineLevel="1" thickTop="1" thickBot="1" x14ac:dyDescent="0.3">
      <c r="A169" s="73">
        <v>152</v>
      </c>
      <c r="B169" s="73">
        <f>B168</f>
        <v>41</v>
      </c>
      <c r="C169" s="49"/>
      <c r="D169" s="31"/>
      <c r="E169"/>
      <c r="F169"/>
      <c r="G169"/>
      <c r="H169"/>
    </row>
    <row r="170" spans="1:8" ht="16.5" outlineLevel="1" thickTop="1" thickBot="1" x14ac:dyDescent="0.3">
      <c r="A170" s="73">
        <v>153</v>
      </c>
      <c r="B170" s="73">
        <f>B168</f>
        <v>41</v>
      </c>
      <c r="C170" s="49"/>
      <c r="D170" s="31"/>
      <c r="E170"/>
      <c r="F170"/>
      <c r="G170"/>
      <c r="H170"/>
    </row>
    <row r="171" spans="1:8" ht="16.5" outlineLevel="1" thickTop="1" thickBot="1" x14ac:dyDescent="0.3">
      <c r="A171" s="73">
        <v>154</v>
      </c>
      <c r="B171" s="74">
        <v>42</v>
      </c>
      <c r="C171" s="2" t="s">
        <v>122</v>
      </c>
      <c r="D171" s="31"/>
      <c r="E171"/>
      <c r="F171"/>
      <c r="G171"/>
      <c r="H171"/>
    </row>
    <row r="172" spans="1:8" ht="16.5" outlineLevel="1" thickTop="1" thickBot="1" x14ac:dyDescent="0.3">
      <c r="A172" s="73">
        <v>155</v>
      </c>
      <c r="B172" s="73">
        <f>B171</f>
        <v>42</v>
      </c>
      <c r="C172" s="49"/>
      <c r="D172" s="31"/>
      <c r="E172"/>
      <c r="F172"/>
      <c r="G172"/>
      <c r="H172"/>
    </row>
    <row r="173" spans="1:8" ht="16.5" outlineLevel="1" thickTop="1" thickBot="1" x14ac:dyDescent="0.3">
      <c r="A173" s="73">
        <v>156</v>
      </c>
      <c r="B173" s="73">
        <f>B171</f>
        <v>42</v>
      </c>
      <c r="C173" s="49"/>
      <c r="D173" s="31"/>
      <c r="E173"/>
      <c r="F173"/>
      <c r="G173"/>
      <c r="H173"/>
    </row>
    <row r="174" spans="1:8" ht="16.5" outlineLevel="1" thickTop="1" thickBot="1" x14ac:dyDescent="0.3">
      <c r="A174" s="73">
        <v>157</v>
      </c>
      <c r="B174" s="74">
        <v>43</v>
      </c>
      <c r="C174" s="2" t="s">
        <v>122</v>
      </c>
      <c r="D174" s="31"/>
      <c r="E174"/>
      <c r="F174"/>
      <c r="G174"/>
      <c r="H174"/>
    </row>
    <row r="175" spans="1:8" ht="16.5" outlineLevel="1" thickTop="1" thickBot="1" x14ac:dyDescent="0.3">
      <c r="A175" s="73">
        <v>158</v>
      </c>
      <c r="B175" s="73">
        <f>B174</f>
        <v>43</v>
      </c>
      <c r="C175" s="49"/>
      <c r="D175" s="31"/>
      <c r="E175"/>
      <c r="F175"/>
      <c r="G175"/>
      <c r="H175"/>
    </row>
    <row r="176" spans="1:8" ht="16.5" outlineLevel="1" thickTop="1" thickBot="1" x14ac:dyDescent="0.3">
      <c r="A176" s="73">
        <v>159</v>
      </c>
      <c r="B176" s="73">
        <f>B174</f>
        <v>43</v>
      </c>
      <c r="C176" s="49"/>
      <c r="D176" s="31"/>
      <c r="E176"/>
      <c r="F176"/>
      <c r="G176"/>
      <c r="H176"/>
    </row>
    <row r="177" spans="1:8" ht="16.5" outlineLevel="1" thickTop="1" thickBot="1" x14ac:dyDescent="0.3">
      <c r="A177" s="73">
        <v>160</v>
      </c>
      <c r="B177" s="74">
        <v>44</v>
      </c>
      <c r="C177" s="2" t="s">
        <v>122</v>
      </c>
      <c r="D177" s="31"/>
      <c r="E177"/>
      <c r="F177"/>
      <c r="G177"/>
      <c r="H177"/>
    </row>
    <row r="178" spans="1:8" ht="16.5" outlineLevel="1" thickTop="1" thickBot="1" x14ac:dyDescent="0.3">
      <c r="A178" s="73">
        <v>161</v>
      </c>
      <c r="B178" s="73">
        <f>B177</f>
        <v>44</v>
      </c>
      <c r="C178" s="49"/>
      <c r="D178" s="31"/>
      <c r="E178"/>
      <c r="F178"/>
      <c r="G178"/>
      <c r="H178"/>
    </row>
    <row r="179" spans="1:8" ht="16.5" outlineLevel="1" thickTop="1" thickBot="1" x14ac:dyDescent="0.3">
      <c r="A179" s="73">
        <v>162</v>
      </c>
      <c r="B179" s="73">
        <f>B177</f>
        <v>44</v>
      </c>
      <c r="C179" s="49"/>
      <c r="D179" s="31"/>
      <c r="E179"/>
      <c r="F179"/>
      <c r="G179"/>
      <c r="H179"/>
    </row>
    <row r="180" spans="1:8" ht="16.5" outlineLevel="1" thickTop="1" thickBot="1" x14ac:dyDescent="0.3">
      <c r="A180" s="73">
        <v>163</v>
      </c>
      <c r="B180" s="74">
        <v>45</v>
      </c>
      <c r="C180" s="2" t="s">
        <v>122</v>
      </c>
      <c r="D180" s="31"/>
      <c r="E180"/>
      <c r="F180"/>
      <c r="G180"/>
      <c r="H180"/>
    </row>
    <row r="181" spans="1:8" ht="16.5" outlineLevel="1" thickTop="1" thickBot="1" x14ac:dyDescent="0.3">
      <c r="A181" s="73">
        <v>164</v>
      </c>
      <c r="B181" s="73">
        <f>B180</f>
        <v>45</v>
      </c>
      <c r="C181" s="49"/>
      <c r="D181" s="31"/>
      <c r="E181"/>
      <c r="F181"/>
      <c r="G181"/>
      <c r="H181"/>
    </row>
    <row r="182" spans="1:8" ht="16.5" outlineLevel="1" thickTop="1" thickBot="1" x14ac:dyDescent="0.3">
      <c r="A182" s="73">
        <v>165</v>
      </c>
      <c r="B182" s="73">
        <f>B180</f>
        <v>45</v>
      </c>
      <c r="C182" s="49"/>
      <c r="D182" s="31"/>
      <c r="E182"/>
      <c r="F182"/>
      <c r="G182"/>
      <c r="H182"/>
    </row>
    <row r="183" spans="1:8" ht="15.75" outlineLevel="1" thickTop="1" x14ac:dyDescent="0.25"/>
    <row r="184" spans="1:8" ht="23.25" x14ac:dyDescent="0.25">
      <c r="A184" s="85" t="s">
        <v>109</v>
      </c>
      <c r="B184" s="3" t="s">
        <v>195</v>
      </c>
    </row>
    <row r="185" spans="1:8" s="98" customFormat="1" x14ac:dyDescent="0.25">
      <c r="B185" s="99"/>
      <c r="C185" s="99"/>
      <c r="D185" s="100"/>
      <c r="E185" s="99"/>
    </row>
    <row r="186" spans="1:8" ht="24" hidden="1" outlineLevel="1" thickBot="1" x14ac:dyDescent="0.4">
      <c r="C186" s="85" t="s">
        <v>108</v>
      </c>
      <c r="D186" s="86" t="s">
        <v>107</v>
      </c>
    </row>
    <row r="187" spans="1:8" ht="16.5" hidden="1" outlineLevel="1" thickTop="1" thickBot="1" x14ac:dyDescent="0.3">
      <c r="C187" s="72">
        <v>0</v>
      </c>
      <c r="D187" s="165">
        <v>0</v>
      </c>
    </row>
    <row r="188" spans="1:8" ht="16.5" hidden="1" outlineLevel="1" thickTop="1" thickBot="1" x14ac:dyDescent="0.3">
      <c r="C188" s="72" t="s">
        <v>287</v>
      </c>
      <c r="D188" s="165" t="s">
        <v>125</v>
      </c>
    </row>
    <row r="189" spans="1:8" ht="16.5" hidden="1" outlineLevel="1" thickTop="1" thickBot="1" x14ac:dyDescent="0.3">
      <c r="C189" s="72">
        <v>124</v>
      </c>
      <c r="D189" s="165">
        <v>1</v>
      </c>
    </row>
    <row r="190" spans="1:8" ht="16.5" hidden="1" outlineLevel="1" thickTop="1" thickBot="1" x14ac:dyDescent="0.3">
      <c r="C190" s="72">
        <v>247</v>
      </c>
      <c r="D190" s="165">
        <v>2</v>
      </c>
    </row>
    <row r="191" spans="1:8" ht="16.5" hidden="1" outlineLevel="1" thickTop="1" thickBot="1" x14ac:dyDescent="0.3">
      <c r="C191" s="72">
        <v>3711</v>
      </c>
      <c r="D191" s="165">
        <v>3</v>
      </c>
    </row>
    <row r="192" spans="1:8" ht="16.5" hidden="1" outlineLevel="1" thickTop="1" thickBot="1" x14ac:dyDescent="0.3">
      <c r="C192" s="72">
        <v>4914</v>
      </c>
      <c r="D192" s="165">
        <v>4</v>
      </c>
    </row>
    <row r="193" spans="3:4" ht="16.5" hidden="1" outlineLevel="1" thickTop="1" thickBot="1" x14ac:dyDescent="0.3">
      <c r="C193" s="72">
        <v>51118</v>
      </c>
      <c r="D193" s="165">
        <v>5</v>
      </c>
    </row>
    <row r="194" spans="3:4" ht="16.5" hidden="1" outlineLevel="1" thickTop="1" thickBot="1" x14ac:dyDescent="0.3">
      <c r="C194" s="72">
        <v>61322</v>
      </c>
      <c r="D194" s="165">
        <v>6</v>
      </c>
    </row>
    <row r="195" spans="3:4" ht="16.5" hidden="1" outlineLevel="1" thickTop="1" thickBot="1" x14ac:dyDescent="0.3">
      <c r="C195" s="72">
        <v>71625</v>
      </c>
      <c r="D195" s="165">
        <v>7</v>
      </c>
    </row>
    <row r="196" spans="3:4" ht="16.5" hidden="1" outlineLevel="1" thickTop="1" thickBot="1" x14ac:dyDescent="0.3">
      <c r="C196" s="72">
        <v>81829</v>
      </c>
      <c r="D196" s="165">
        <v>8</v>
      </c>
    </row>
    <row r="197" spans="3:4" ht="16.5" hidden="1" outlineLevel="1" thickTop="1" thickBot="1" x14ac:dyDescent="0.3">
      <c r="C197" s="72">
        <v>92032</v>
      </c>
      <c r="D197" s="165">
        <v>9</v>
      </c>
    </row>
    <row r="198" spans="3:4" ht="16.5" hidden="1" outlineLevel="1" thickTop="1" thickBot="1" x14ac:dyDescent="0.3">
      <c r="C198" s="72">
        <v>102236</v>
      </c>
      <c r="D198" s="165">
        <v>10</v>
      </c>
    </row>
    <row r="199" spans="3:4" ht="15.75" hidden="1" outlineLevel="1" thickTop="1" x14ac:dyDescent="0.25">
      <c r="D199" s="70">
        <v>11</v>
      </c>
    </row>
    <row r="200" spans="3:4" hidden="1" outlineLevel="1" x14ac:dyDescent="0.25">
      <c r="C200" s="4"/>
      <c r="D200" s="70">
        <v>12</v>
      </c>
    </row>
    <row r="201" spans="3:4" hidden="1" outlineLevel="1" x14ac:dyDescent="0.25">
      <c r="C201" s="4"/>
      <c r="D201" s="70">
        <v>13</v>
      </c>
    </row>
    <row r="202" spans="3:4" hidden="1" outlineLevel="1" x14ac:dyDescent="0.25">
      <c r="C202" s="4"/>
      <c r="D202" s="70">
        <v>14</v>
      </c>
    </row>
    <row r="203" spans="3:4" hidden="1" outlineLevel="1" x14ac:dyDescent="0.25">
      <c r="C203" s="4"/>
      <c r="D203" s="70">
        <v>15</v>
      </c>
    </row>
    <row r="204" spans="3:4" hidden="1" outlineLevel="1" x14ac:dyDescent="0.25">
      <c r="C204" s="4"/>
      <c r="D204" s="70">
        <v>16</v>
      </c>
    </row>
    <row r="205" spans="3:4" hidden="1" outlineLevel="1" x14ac:dyDescent="0.25">
      <c r="C205" s="4"/>
      <c r="D205" s="70">
        <v>17</v>
      </c>
    </row>
    <row r="206" spans="3:4" hidden="1" outlineLevel="1" x14ac:dyDescent="0.25">
      <c r="C206" s="4"/>
      <c r="D206" s="70">
        <v>18</v>
      </c>
    </row>
    <row r="207" spans="3:4" hidden="1" outlineLevel="1" x14ac:dyDescent="0.25">
      <c r="C207" s="4"/>
      <c r="D207" s="70">
        <v>19</v>
      </c>
    </row>
    <row r="208" spans="3:4" hidden="1" outlineLevel="1" x14ac:dyDescent="0.25">
      <c r="C208" s="4"/>
      <c r="D208" s="70">
        <v>20</v>
      </c>
    </row>
    <row r="209" spans="1:5" ht="23.25" collapsed="1" x14ac:dyDescent="0.25">
      <c r="A209" s="85" t="s">
        <v>108</v>
      </c>
      <c r="C209" s="4"/>
      <c r="D209" s="51"/>
    </row>
    <row r="210" spans="1:5" s="98" customFormat="1" x14ac:dyDescent="0.25">
      <c r="B210" s="99"/>
      <c r="C210" s="99"/>
      <c r="D210" s="100"/>
      <c r="E210" s="99"/>
    </row>
    <row r="211" spans="1:5" ht="23.25" hidden="1" outlineLevel="1" x14ac:dyDescent="0.35">
      <c r="A211" s="85" t="s">
        <v>124</v>
      </c>
      <c r="B211" s="86" t="s">
        <v>107</v>
      </c>
      <c r="C211" s="79" t="s">
        <v>107</v>
      </c>
      <c r="D211"/>
    </row>
    <row r="212" spans="1:5" ht="19.5" hidden="1" outlineLevel="1" thickBot="1" x14ac:dyDescent="0.3">
      <c r="A212" s="27" t="s">
        <v>154</v>
      </c>
      <c r="B212" s="77" t="s">
        <v>153</v>
      </c>
      <c r="C212" s="1"/>
      <c r="D212" s="4"/>
    </row>
    <row r="213" spans="1:5" ht="16.5" hidden="1" outlineLevel="1" thickTop="1" thickBot="1" x14ac:dyDescent="0.3">
      <c r="A213" s="72" t="s">
        <v>44</v>
      </c>
      <c r="B213" s="95" t="s">
        <v>134</v>
      </c>
      <c r="C213" s="4" t="s">
        <v>126</v>
      </c>
      <c r="D213" t="str">
        <f>B213</f>
        <v>Û</v>
      </c>
    </row>
    <row r="214" spans="1:5" ht="16.5" hidden="1" outlineLevel="1" thickTop="1" thickBot="1" x14ac:dyDescent="0.3">
      <c r="A214" s="72" t="s">
        <v>43</v>
      </c>
      <c r="B214" s="95" t="s">
        <v>136</v>
      </c>
      <c r="C214" s="4" t="s">
        <v>133</v>
      </c>
      <c r="D214" t="str">
        <f>B214</f>
        <v>Þ</v>
      </c>
    </row>
    <row r="215" spans="1:5" ht="16.5" hidden="1" outlineLevel="1" thickTop="1" thickBot="1" x14ac:dyDescent="0.3">
      <c r="A215" s="72" t="s">
        <v>45</v>
      </c>
      <c r="B215" s="95" t="s">
        <v>141</v>
      </c>
      <c r="C215" s="4" t="s">
        <v>128</v>
      </c>
      <c r="D215" t="str">
        <f>B215</f>
        <v>Ú</v>
      </c>
    </row>
    <row r="216" spans="1:5" ht="16.5" hidden="1" outlineLevel="1" thickTop="1" thickBot="1" x14ac:dyDescent="0.3">
      <c r="A216" s="72" t="s">
        <v>30</v>
      </c>
      <c r="B216" s="95" t="s">
        <v>140</v>
      </c>
      <c r="C216" s="4" t="s">
        <v>130</v>
      </c>
      <c r="D216" t="str">
        <f>B216</f>
        <v>à</v>
      </c>
    </row>
    <row r="217" spans="1:5" ht="16.5" hidden="1" outlineLevel="1" thickTop="1" thickBot="1" x14ac:dyDescent="0.3">
      <c r="A217" s="72" t="s">
        <v>35</v>
      </c>
      <c r="B217" s="95" t="s">
        <v>138</v>
      </c>
      <c r="C217" s="4" t="s">
        <v>129</v>
      </c>
      <c r="D217" t="str">
        <f t="shared" ref="D217:D221" si="6">B217</f>
        <v>Ü</v>
      </c>
    </row>
    <row r="218" spans="1:5" ht="16.5" hidden="1" outlineLevel="1" thickTop="1" thickBot="1" x14ac:dyDescent="0.3">
      <c r="A218" s="72" t="s">
        <v>33</v>
      </c>
      <c r="B218" s="95" t="s">
        <v>139</v>
      </c>
      <c r="C218" s="4" t="s">
        <v>131</v>
      </c>
      <c r="D218" t="str">
        <f t="shared" si="6"/>
        <v>ß</v>
      </c>
    </row>
    <row r="219" spans="1:5" ht="16.5" hidden="1" outlineLevel="1" thickTop="1" thickBot="1" x14ac:dyDescent="0.3">
      <c r="A219" s="72" t="s">
        <v>49</v>
      </c>
      <c r="B219" s="95" t="s">
        <v>137</v>
      </c>
      <c r="C219" s="4" t="s">
        <v>127</v>
      </c>
      <c r="D219" t="str">
        <f>B219</f>
        <v>Ù</v>
      </c>
    </row>
    <row r="220" spans="1:5" ht="16.5" hidden="1" outlineLevel="1" thickTop="1" thickBot="1" x14ac:dyDescent="0.3">
      <c r="A220" s="72" t="s">
        <v>48</v>
      </c>
      <c r="B220" s="95" t="s">
        <v>135</v>
      </c>
      <c r="C220" s="4" t="s">
        <v>132</v>
      </c>
      <c r="D220" t="str">
        <f>B220</f>
        <v>Ý</v>
      </c>
    </row>
    <row r="221" spans="1:5" ht="16.5" hidden="1" outlineLevel="1" thickTop="1" thickBot="1" x14ac:dyDescent="0.3">
      <c r="A221" s="72" t="s">
        <v>123</v>
      </c>
      <c r="B221" s="95" t="s">
        <v>190</v>
      </c>
      <c r="C221" s="4" t="s">
        <v>125</v>
      </c>
      <c r="D221" t="str">
        <f t="shared" si="6"/>
        <v>­</v>
      </c>
    </row>
    <row r="222" spans="1:5" ht="23.25" collapsed="1" x14ac:dyDescent="0.25">
      <c r="A222" s="85" t="s">
        <v>124</v>
      </c>
      <c r="B222" s="70"/>
      <c r="C222"/>
      <c r="D222" s="4"/>
    </row>
  </sheetData>
  <sortState ref="A23:J34">
    <sortCondition descending="1" ref="A23"/>
  </sortState>
  <conditionalFormatting sqref="D187:D197 D199:D208">
    <cfRule type="dataBar" priority="2">
      <dataBar>
        <cfvo type="num" val="0"/>
        <cfvo type="num" val="20"/>
        <color rgb="FFFF555A"/>
      </dataBar>
      <extLst>
        <ext xmlns:x14="http://schemas.microsoft.com/office/spreadsheetml/2009/9/main" uri="{B025F937-C7B1-47D3-B67F-A62EFF666E3E}">
          <x14:id>{7EAD770A-BD8D-4DA8-A00D-55B8CB6DE83E}</x14:id>
        </ext>
      </extLst>
    </cfRule>
  </conditionalFormatting>
  <conditionalFormatting sqref="D198">
    <cfRule type="dataBar" priority="1">
      <dataBar>
        <cfvo type="num" val="0"/>
        <cfvo type="num" val="20"/>
        <color rgb="FFFF555A"/>
      </dataBar>
      <extLst>
        <ext xmlns:x14="http://schemas.microsoft.com/office/spreadsheetml/2009/9/main" uri="{B025F937-C7B1-47D3-B67F-A62EFF666E3E}">
          <x14:id>{6EE9AB9E-855D-40DA-BB5F-521B2E27A702}</x14:id>
        </ext>
      </extLst>
    </cfRule>
  </conditionalFormatting>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dataBar" id="{7EAD770A-BD8D-4DA8-A00D-55B8CB6DE83E}">
            <x14:dataBar minLength="0" maxLength="100">
              <x14:cfvo type="num">
                <xm:f>0</xm:f>
              </x14:cfvo>
              <x14:cfvo type="num">
                <xm:f>20</xm:f>
              </x14:cfvo>
              <x14:negativeFillColor rgb="FFFF0000"/>
              <x14:axisColor rgb="FF000000"/>
            </x14:dataBar>
          </x14:cfRule>
          <xm:sqref>D187:D197 D199:D208</xm:sqref>
        </x14:conditionalFormatting>
        <x14:conditionalFormatting xmlns:xm="http://schemas.microsoft.com/office/excel/2006/main">
          <x14:cfRule type="dataBar" id="{6EE9AB9E-855D-40DA-BB5F-521B2E27A702}">
            <x14:dataBar minLength="0" maxLength="100">
              <x14:cfvo type="num">
                <xm:f>0</xm:f>
              </x14:cfvo>
              <x14:cfvo type="num">
                <xm:f>20</xm:f>
              </x14:cfvo>
              <x14:negativeFillColor rgb="FFFF0000"/>
              <x14:axisColor rgb="FF000000"/>
            </x14:dataBar>
          </x14:cfRule>
          <xm:sqref>D198</xm:sqref>
        </x14:conditionalFormatting>
      </x14:conditionalFormattings>
    </ext>
    <ext xmlns:x14="http://schemas.microsoft.com/office/spreadsheetml/2009/9/main" uri="{05C60535-1F16-4fd2-B633-F4F36F0B64E0}">
      <x14:sparklineGroups xmlns:xm="http://schemas.microsoft.com/office/excel/2006/main">
        <x14:sparklineGroup type="column" displayEmptyCellsAs="gap" minAxisType="group" maxAxisType="group" xr2:uid="{00000000-0003-0000-0400-000000000000}">
          <x14:colorSeries theme="5" tint="-0.499984740745262"/>
          <x14:colorNegative theme="6"/>
          <x14:colorAxis rgb="FF000000"/>
          <x14:colorMarkers theme="5" tint="-0.499984740745262"/>
          <x14:colorFirst theme="5" tint="0.39997558519241921"/>
          <x14:colorLast theme="5" tint="0.39997558519241921"/>
          <x14:colorHigh theme="5"/>
          <x14:colorLow theme="5"/>
          <x14:sparklines>
            <x14:sparkline>
              <xm:f>Atitikmenys!D187:D187</xm:f>
              <xm:sqref>D187</xm:sqref>
            </x14:sparkline>
            <x14:sparkline>
              <xm:f>Atitikmenys!D188:D188</xm:f>
              <xm:sqref>D188</xm:sqref>
            </x14:sparkline>
            <x14:sparkline>
              <xm:f>Atitikmenys!D189:D189</xm:f>
              <xm:sqref>D189</xm:sqref>
            </x14:sparkline>
            <x14:sparkline>
              <xm:f>Atitikmenys!D190:D190</xm:f>
              <xm:sqref>D190</xm:sqref>
            </x14:sparkline>
            <x14:sparkline>
              <xm:f>Atitikmenys!D191:D191</xm:f>
              <xm:sqref>D191</xm:sqref>
            </x14:sparkline>
            <x14:sparkline>
              <xm:f>Atitikmenys!D192:D192</xm:f>
              <xm:sqref>D192</xm:sqref>
            </x14:sparkline>
            <x14:sparkline>
              <xm:f>Atitikmenys!D193:D193</xm:f>
              <xm:sqref>D193</xm:sqref>
            </x14:sparkline>
            <x14:sparkline>
              <xm:f>Atitikmenys!D194:D194</xm:f>
              <xm:sqref>D194</xm:sqref>
            </x14:sparkline>
            <x14:sparkline>
              <xm:f>Atitikmenys!D195:D195</xm:f>
              <xm:sqref>D195</xm:sqref>
            </x14:sparkline>
            <x14:sparkline>
              <xm:f>Atitikmenys!D196:D196</xm:f>
              <xm:sqref>D196</xm:sqref>
            </x14:sparkline>
            <x14:sparkline>
              <xm:f>Atitikmenys!D197:D197</xm:f>
              <xm:sqref>D197</xm:sqref>
            </x14:sparkline>
            <x14:sparkline>
              <xm:f>Atitikmenys!D198:D198</xm:f>
              <xm:sqref>D198</xm:sqref>
            </x14:sparkline>
            <x14:sparkline>
              <xm:f>Atitikmenys!D199:D199</xm:f>
              <xm:sqref>D199</xm:sqref>
            </x14:sparkline>
            <x14:sparkline>
              <xm:f>Atitikmenys!D200:D200</xm:f>
              <xm:sqref>D200</xm:sqref>
            </x14:sparkline>
            <x14:sparkline>
              <xm:f>Atitikmenys!D201:D201</xm:f>
              <xm:sqref>D201</xm:sqref>
            </x14:sparkline>
            <x14:sparkline>
              <xm:f>Atitikmenys!D202:D202</xm:f>
              <xm:sqref>D202</xm:sqref>
            </x14:sparkline>
            <x14:sparkline>
              <xm:f>Atitikmenys!D203:D203</xm:f>
              <xm:sqref>D203</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Lapas8"/>
  <dimension ref="A1:AB11"/>
  <sheetViews>
    <sheetView workbookViewId="0">
      <selection activeCell="I4" sqref="I4"/>
    </sheetView>
  </sheetViews>
  <sheetFormatPr defaultColWidth="12" defaultRowHeight="15" x14ac:dyDescent="0.25"/>
  <cols>
    <col min="1" max="1" width="36.28515625" style="51" bestFit="1" customWidth="1"/>
    <col min="2" max="2" width="15.5703125" style="51" bestFit="1" customWidth="1"/>
    <col min="3" max="26" width="6.7109375" style="3" customWidth="1"/>
    <col min="27" max="27" width="3" style="3" bestFit="1" customWidth="1"/>
    <col min="28" max="28" width="14.42578125" style="51" customWidth="1"/>
    <col min="29" max="16384" width="12" style="51"/>
  </cols>
  <sheetData>
    <row r="1" spans="1:28" ht="23.25" x14ac:dyDescent="0.25">
      <c r="A1" s="284" t="s">
        <v>278</v>
      </c>
      <c r="C1" s="296" t="str">
        <f t="shared" ref="C1:Z1" ca="1" si="0">IF(C2="saulėtekis",$B$4,IF(C2="saulėlydis",$AB$4,""))</f>
        <v/>
      </c>
      <c r="D1" s="296" t="str">
        <f t="shared" ca="1" si="0"/>
        <v/>
      </c>
      <c r="E1" s="296" t="str">
        <f t="shared" ca="1" si="0"/>
        <v/>
      </c>
      <c r="F1" s="296" t="str">
        <f t="shared" ca="1" si="0"/>
        <v/>
      </c>
      <c r="G1" s="296" t="str">
        <f t="shared" ca="1" si="0"/>
        <v/>
      </c>
      <c r="H1" s="296" t="str">
        <f t="shared" ca="1" si="0"/>
        <v/>
      </c>
      <c r="I1" s="296" t="str">
        <f t="shared" ca="1" si="0"/>
        <v/>
      </c>
      <c r="J1" s="296" t="str">
        <f t="shared" ca="1" si="0"/>
        <v/>
      </c>
      <c r="K1" s="296">
        <f t="shared" ca="1" si="0"/>
        <v>0.33958333333333335</v>
      </c>
      <c r="L1" s="296" t="str">
        <f t="shared" ca="1" si="0"/>
        <v/>
      </c>
      <c r="M1" s="296" t="str">
        <f t="shared" ca="1" si="0"/>
        <v/>
      </c>
      <c r="N1" s="296" t="str">
        <f t="shared" ca="1" si="0"/>
        <v/>
      </c>
      <c r="O1" s="296" t="str">
        <f t="shared" ca="1" si="0"/>
        <v/>
      </c>
      <c r="P1" s="296" t="str">
        <f t="shared" ca="1" si="0"/>
        <v/>
      </c>
      <c r="Q1" s="296" t="str">
        <f t="shared" ca="1" si="0"/>
        <v/>
      </c>
      <c r="R1" s="296" t="str">
        <f t="shared" ca="1" si="0"/>
        <v/>
      </c>
      <c r="S1" s="296" t="str">
        <f t="shared" ca="1" si="0"/>
        <v/>
      </c>
      <c r="T1" s="296" t="str">
        <f t="shared" ca="1" si="0"/>
        <v/>
      </c>
      <c r="U1" s="296">
        <f t="shared" ca="1" si="0"/>
        <v>0.75416666666666676</v>
      </c>
      <c r="V1" s="296" t="str">
        <f t="shared" ca="1" si="0"/>
        <v/>
      </c>
      <c r="W1" s="296" t="str">
        <f t="shared" ca="1" si="0"/>
        <v/>
      </c>
      <c r="X1" s="296" t="str">
        <f t="shared" ca="1" si="0"/>
        <v/>
      </c>
      <c r="Y1" s="296" t="str">
        <f t="shared" ca="1" si="0"/>
        <v/>
      </c>
      <c r="Z1" s="296" t="str">
        <f t="shared" ca="1" si="0"/>
        <v/>
      </c>
    </row>
    <row r="2" spans="1:28" x14ac:dyDescent="0.25">
      <c r="B2" s="269" t="s">
        <v>275</v>
      </c>
      <c r="C2" s="290" t="str">
        <f ca="1">IF(AND($B$3&gt;C3/24,$B$3&lt;=D3/24),"saulėtekis",IF(AND($AB$3&gt;C3/24,$AB$3&lt;=D3/24),"saulėlydis",IF(OR($B$3&gt;C3/24,$AB$3&lt;=D3/24),"naktis","diena")))</f>
        <v>naktis</v>
      </c>
      <c r="D2" s="291" t="str">
        <f t="shared" ref="D2:Z2" ca="1" si="1">IF(AND($B$3&gt;D3/24,$B$3&lt;=E3/24),"saulėtekis",IF(AND($AB$3&gt;D3/24,$AB$3&lt;=E3/24),"saulėlydis",IF(OR($B$3&gt;D3/24,$AB$3&lt;=E3/24),"naktis","diena")))</f>
        <v>naktis</v>
      </c>
      <c r="E2" s="291" t="str">
        <f t="shared" ca="1" si="1"/>
        <v>naktis</v>
      </c>
      <c r="F2" s="291" t="str">
        <f t="shared" ca="1" si="1"/>
        <v>naktis</v>
      </c>
      <c r="G2" s="291" t="str">
        <f t="shared" ca="1" si="1"/>
        <v>naktis</v>
      </c>
      <c r="H2" s="291" t="str">
        <f t="shared" ca="1" si="1"/>
        <v>naktis</v>
      </c>
      <c r="I2" s="291" t="str">
        <f t="shared" ca="1" si="1"/>
        <v>naktis</v>
      </c>
      <c r="J2" s="291" t="str">
        <f t="shared" ca="1" si="1"/>
        <v>naktis</v>
      </c>
      <c r="K2" s="291" t="str">
        <f t="shared" ca="1" si="1"/>
        <v>saulėtekis</v>
      </c>
      <c r="L2" s="291" t="str">
        <f t="shared" ca="1" si="1"/>
        <v>diena</v>
      </c>
      <c r="M2" s="291" t="str">
        <f t="shared" ca="1" si="1"/>
        <v>diena</v>
      </c>
      <c r="N2" s="291" t="str">
        <f t="shared" ca="1" si="1"/>
        <v>diena</v>
      </c>
      <c r="O2" s="291" t="str">
        <f t="shared" ca="1" si="1"/>
        <v>diena</v>
      </c>
      <c r="P2" s="291" t="str">
        <f t="shared" ca="1" si="1"/>
        <v>diena</v>
      </c>
      <c r="Q2" s="291" t="str">
        <f t="shared" ca="1" si="1"/>
        <v>diena</v>
      </c>
      <c r="R2" s="291" t="str">
        <f t="shared" ca="1" si="1"/>
        <v>diena</v>
      </c>
      <c r="S2" s="291" t="str">
        <f t="shared" ca="1" si="1"/>
        <v>diena</v>
      </c>
      <c r="T2" s="291" t="str">
        <f t="shared" ca="1" si="1"/>
        <v>diena</v>
      </c>
      <c r="U2" s="291" t="str">
        <f t="shared" ca="1" si="1"/>
        <v>saulėlydis</v>
      </c>
      <c r="V2" s="291" t="str">
        <f t="shared" ca="1" si="1"/>
        <v>naktis</v>
      </c>
      <c r="W2" s="291" t="str">
        <f t="shared" ca="1" si="1"/>
        <v>naktis</v>
      </c>
      <c r="X2" s="291" t="str">
        <f t="shared" ca="1" si="1"/>
        <v>naktis</v>
      </c>
      <c r="Y2" s="291" t="str">
        <f t="shared" ca="1" si="1"/>
        <v>naktis</v>
      </c>
      <c r="Z2" s="273" t="str">
        <f t="shared" ca="1" si="1"/>
        <v>naktis</v>
      </c>
      <c r="AB2" s="272" t="s">
        <v>276</v>
      </c>
    </row>
    <row r="3" spans="1:28" x14ac:dyDescent="0.25">
      <c r="B3" s="270">
        <f ca="1">SUM('3dien'!Q:Q)</f>
        <v>0.33958333333333335</v>
      </c>
      <c r="C3" s="288">
        <v>0</v>
      </c>
      <c r="D3" s="289">
        <v>1</v>
      </c>
      <c r="E3" s="289">
        <v>2</v>
      </c>
      <c r="F3" s="289">
        <v>3</v>
      </c>
      <c r="G3" s="289">
        <v>4</v>
      </c>
      <c r="H3" s="289">
        <v>5</v>
      </c>
      <c r="I3" s="289">
        <v>6</v>
      </c>
      <c r="J3" s="289">
        <v>7</v>
      </c>
      <c r="K3" s="289">
        <v>8</v>
      </c>
      <c r="L3" s="289">
        <v>9</v>
      </c>
      <c r="M3" s="289">
        <v>10</v>
      </c>
      <c r="N3" s="289">
        <v>11</v>
      </c>
      <c r="O3" s="289">
        <v>12</v>
      </c>
      <c r="P3" s="289">
        <v>13</v>
      </c>
      <c r="Q3" s="289">
        <v>14</v>
      </c>
      <c r="R3" s="289">
        <v>15</v>
      </c>
      <c r="S3" s="289">
        <v>16</v>
      </c>
      <c r="T3" s="289">
        <v>17</v>
      </c>
      <c r="U3" s="289">
        <v>18</v>
      </c>
      <c r="V3" s="289">
        <v>19</v>
      </c>
      <c r="W3" s="289">
        <v>20</v>
      </c>
      <c r="X3" s="289">
        <v>21</v>
      </c>
      <c r="Y3" s="289">
        <v>22</v>
      </c>
      <c r="Z3" s="289">
        <v>23</v>
      </c>
      <c r="AA3" s="268">
        <v>24</v>
      </c>
      <c r="AB3" s="270">
        <f ca="1">SUM('3dien'!R:R)</f>
        <v>0.75416666666666676</v>
      </c>
    </row>
    <row r="4" spans="1:28" x14ac:dyDescent="0.25">
      <c r="B4" s="271">
        <f ca="1">B3</f>
        <v>0.33958333333333335</v>
      </c>
      <c r="C4" s="281" t="s">
        <v>277</v>
      </c>
      <c r="D4" s="281" t="s">
        <v>277</v>
      </c>
      <c r="E4" s="281" t="s">
        <v>277</v>
      </c>
      <c r="F4" s="281" t="s">
        <v>277</v>
      </c>
      <c r="G4" s="281" t="s">
        <v>277</v>
      </c>
      <c r="H4" s="280" t="s">
        <v>277</v>
      </c>
      <c r="I4" s="280" t="s">
        <v>277</v>
      </c>
      <c r="J4" s="280" t="s">
        <v>277</v>
      </c>
      <c r="K4" s="282" t="s">
        <v>277</v>
      </c>
      <c r="L4" s="282" t="s">
        <v>277</v>
      </c>
      <c r="M4" s="282" t="s">
        <v>277</v>
      </c>
      <c r="N4" s="282" t="s">
        <v>277</v>
      </c>
      <c r="O4" s="282" t="s">
        <v>277</v>
      </c>
      <c r="P4" s="282" t="s">
        <v>277</v>
      </c>
      <c r="Q4" s="282" t="s">
        <v>277</v>
      </c>
      <c r="R4" s="282" t="s">
        <v>277</v>
      </c>
      <c r="S4" s="282" t="s">
        <v>277</v>
      </c>
      <c r="T4" s="280" t="s">
        <v>277</v>
      </c>
      <c r="U4" s="280" t="s">
        <v>277</v>
      </c>
      <c r="V4" s="280" t="s">
        <v>277</v>
      </c>
      <c r="W4" s="280" t="s">
        <v>277</v>
      </c>
      <c r="X4" s="280" t="s">
        <v>277</v>
      </c>
      <c r="Y4" s="281" t="s">
        <v>277</v>
      </c>
      <c r="Z4" s="281" t="s">
        <v>277</v>
      </c>
      <c r="AB4" s="271">
        <f ca="1">AB3</f>
        <v>0.75416666666666676</v>
      </c>
    </row>
    <row r="5" spans="1:28" x14ac:dyDescent="0.25">
      <c r="C5" s="51"/>
      <c r="D5" s="51"/>
      <c r="E5" s="51"/>
      <c r="F5" s="51"/>
      <c r="G5" s="51"/>
      <c r="H5" s="51"/>
      <c r="I5" s="51"/>
      <c r="J5" s="51"/>
      <c r="K5" s="274"/>
      <c r="L5" s="275"/>
      <c r="M5" s="275"/>
      <c r="N5" s="275"/>
      <c r="O5" s="276" t="s">
        <v>279</v>
      </c>
      <c r="P5" s="275"/>
      <c r="Q5" s="275"/>
      <c r="R5" s="275"/>
      <c r="S5" s="277"/>
      <c r="T5" s="51"/>
      <c r="U5" s="51"/>
      <c r="V5" s="51"/>
      <c r="W5" s="51"/>
      <c r="X5" s="51"/>
      <c r="Y5" s="51"/>
      <c r="Z5" s="51"/>
    </row>
    <row r="6" spans="1:28" x14ac:dyDescent="0.25">
      <c r="C6" s="51"/>
      <c r="D6" s="51"/>
      <c r="E6" s="51"/>
      <c r="F6" s="51"/>
      <c r="G6" s="51"/>
      <c r="H6" s="51"/>
      <c r="I6" s="51"/>
      <c r="J6" s="51"/>
      <c r="K6" s="51"/>
      <c r="L6" s="51"/>
      <c r="M6" s="51"/>
      <c r="N6" s="51"/>
      <c r="O6" s="51"/>
      <c r="P6" s="51"/>
      <c r="Q6" s="51"/>
      <c r="R6" s="51"/>
      <c r="S6" s="51"/>
      <c r="T6" s="51"/>
      <c r="U6" s="51"/>
      <c r="V6" s="51"/>
      <c r="W6" s="51"/>
      <c r="X6" s="51"/>
      <c r="Y6" s="51"/>
      <c r="Z6" s="51"/>
    </row>
    <row r="7" spans="1:28" x14ac:dyDescent="0.25">
      <c r="A7" s="278" t="s">
        <v>296</v>
      </c>
      <c r="C7" s="51"/>
      <c r="D7" s="51"/>
      <c r="E7" s="51"/>
      <c r="F7" s="51"/>
      <c r="G7" s="51"/>
      <c r="H7" s="51"/>
      <c r="I7" s="51"/>
      <c r="J7" s="51"/>
      <c r="K7" s="51"/>
      <c r="L7" s="51"/>
      <c r="M7" s="51"/>
      <c r="N7" s="51"/>
      <c r="O7" s="51"/>
      <c r="P7" s="51"/>
      <c r="Q7" s="51"/>
      <c r="R7" s="51"/>
      <c r="S7" s="51"/>
      <c r="T7" s="51"/>
      <c r="U7" s="51"/>
      <c r="V7" s="51"/>
      <c r="W7" s="51"/>
      <c r="X7" s="51"/>
      <c r="Y7" s="51"/>
      <c r="Z7" s="51"/>
    </row>
    <row r="8" spans="1:28" x14ac:dyDescent="0.25">
      <c r="A8" s="279">
        <v>42918.249305555553</v>
      </c>
      <c r="B8" s="283">
        <v>0.20208333333333331</v>
      </c>
      <c r="C8" s="292"/>
      <c r="D8" s="292"/>
      <c r="E8" s="292"/>
      <c r="F8" s="292"/>
      <c r="G8" s="293"/>
      <c r="H8" s="294"/>
      <c r="I8" s="294"/>
      <c r="J8" s="189"/>
      <c r="K8" s="189"/>
      <c r="L8" s="189"/>
      <c r="M8" s="189"/>
      <c r="N8" s="189"/>
      <c r="O8" s="189"/>
      <c r="P8" s="189"/>
      <c r="Q8" s="189"/>
      <c r="R8" s="189"/>
      <c r="S8" s="189"/>
      <c r="T8" s="189"/>
      <c r="U8" s="189"/>
      <c r="V8" s="189"/>
      <c r="W8" s="189"/>
      <c r="X8" s="189"/>
      <c r="Y8" s="295"/>
      <c r="Z8" s="292"/>
      <c r="AB8" s="283">
        <v>0.9194444444444444</v>
      </c>
    </row>
    <row r="9" spans="1:28" x14ac:dyDescent="0.25">
      <c r="A9" s="279">
        <v>42920.279166666667</v>
      </c>
      <c r="B9" s="283">
        <v>0.24513888888888888</v>
      </c>
      <c r="C9" s="292"/>
      <c r="D9" s="292"/>
      <c r="E9" s="292"/>
      <c r="F9" s="292"/>
      <c r="G9" s="293"/>
      <c r="H9" s="294"/>
      <c r="I9" s="294"/>
      <c r="J9" s="189"/>
      <c r="K9" s="189"/>
      <c r="L9" s="189"/>
      <c r="M9" s="189"/>
      <c r="N9" s="189"/>
      <c r="O9" s="189"/>
      <c r="P9" s="189"/>
      <c r="Q9" s="189"/>
      <c r="R9" s="189"/>
      <c r="S9" s="189"/>
      <c r="T9" s="189"/>
      <c r="U9" s="189"/>
      <c r="V9" s="189"/>
      <c r="W9" s="189"/>
      <c r="X9" s="189"/>
      <c r="Y9" s="295"/>
      <c r="Z9" s="292"/>
      <c r="AB9" s="283">
        <v>0.9604166666666667</v>
      </c>
    </row>
    <row r="10" spans="1:28" x14ac:dyDescent="0.25">
      <c r="A10" s="279">
        <v>42937.261111111111</v>
      </c>
      <c r="B10" s="283">
        <v>0.21875</v>
      </c>
      <c r="C10" s="292"/>
      <c r="D10" s="292"/>
      <c r="E10" s="292"/>
      <c r="F10" s="292"/>
      <c r="G10" s="292"/>
      <c r="H10" s="293"/>
      <c r="I10" s="294"/>
      <c r="J10" s="189"/>
      <c r="K10" s="189"/>
      <c r="L10" s="189"/>
      <c r="M10" s="189"/>
      <c r="N10" s="189"/>
      <c r="O10" s="189"/>
      <c r="P10" s="189"/>
      <c r="Q10" s="189"/>
      <c r="R10" s="189"/>
      <c r="S10" s="189"/>
      <c r="T10" s="189"/>
      <c r="U10" s="189"/>
      <c r="V10" s="189"/>
      <c r="W10" s="189"/>
      <c r="X10" s="295"/>
      <c r="Y10" s="292"/>
      <c r="Z10" s="292"/>
      <c r="AB10" s="283">
        <v>0.90625</v>
      </c>
    </row>
    <row r="11" spans="1:28" x14ac:dyDescent="0.25">
      <c r="A11" s="279">
        <v>42958.240277777775</v>
      </c>
      <c r="B11" s="283">
        <v>0.24374999999999999</v>
      </c>
      <c r="C11" s="292"/>
      <c r="D11" s="292"/>
      <c r="E11" s="292"/>
      <c r="F11" s="292"/>
      <c r="G11" s="292"/>
      <c r="H11" s="293"/>
      <c r="I11" s="294"/>
      <c r="J11" s="189"/>
      <c r="K11" s="189"/>
      <c r="L11" s="189"/>
      <c r="M11" s="189"/>
      <c r="N11" s="189"/>
      <c r="O11" s="189"/>
      <c r="P11" s="189"/>
      <c r="Q11" s="189"/>
      <c r="R11" s="189"/>
      <c r="S11" s="189"/>
      <c r="T11" s="189"/>
      <c r="U11" s="189"/>
      <c r="V11" s="189"/>
      <c r="W11" s="189"/>
      <c r="X11" s="295"/>
      <c r="Y11" s="292"/>
      <c r="Z11" s="292"/>
      <c r="AB11" s="283">
        <v>0.87916666666666676</v>
      </c>
    </row>
  </sheetData>
  <conditionalFormatting sqref="C2:Z2">
    <cfRule type="cellIs" dxfId="5" priority="4" operator="equal">
      <formula>"saulėlydis"</formula>
    </cfRule>
    <cfRule type="cellIs" dxfId="4" priority="5" operator="equal">
      <formula>"saulėtekis"</formula>
    </cfRule>
    <cfRule type="cellIs" dxfId="3" priority="6" operator="equal">
      <formula>"naktis"</formula>
    </cfRule>
  </conditionalFormatting>
  <conditionalFormatting sqref="C4:Z4">
    <cfRule type="expression" dxfId="2" priority="1">
      <formula>OFFSET(C2,0,0)="saulėlydis"</formula>
    </cfRule>
    <cfRule type="expression" dxfId="1" priority="2">
      <formula>OFFSET(C2,0,0)="saulėtekis"</formula>
    </cfRule>
    <cfRule type="expression" dxfId="0" priority="3">
      <formula>OFFSET(C2,0,0)="naktis"</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C12"/>
  <sheetViews>
    <sheetView workbookViewId="0">
      <pane ySplit="1" topLeftCell="A2" activePane="bottomLeft" state="frozen"/>
      <selection pane="bottomLeft" activeCell="C7" sqref="C7"/>
    </sheetView>
  </sheetViews>
  <sheetFormatPr defaultRowHeight="15" x14ac:dyDescent="0.25"/>
  <cols>
    <col min="1" max="1" width="26.28515625" customWidth="1"/>
  </cols>
  <sheetData>
    <row r="1" spans="1:3" x14ac:dyDescent="0.25">
      <c r="A1" s="287" t="s">
        <v>294</v>
      </c>
      <c r="B1" s="287" t="s">
        <v>292</v>
      </c>
      <c r="C1" s="287" t="s">
        <v>293</v>
      </c>
    </row>
    <row r="2" spans="1:3" x14ac:dyDescent="0.25">
      <c r="A2" s="263" t="s">
        <v>290</v>
      </c>
      <c r="B2">
        <v>-50</v>
      </c>
      <c r="C2">
        <v>-20</v>
      </c>
    </row>
    <row r="3" spans="1:3" x14ac:dyDescent="0.25">
      <c r="A3" s="286" t="s">
        <v>289</v>
      </c>
      <c r="B3" s="1">
        <f t="shared" ref="B3:B9" si="0">C2+1</f>
        <v>-19</v>
      </c>
      <c r="C3">
        <v>-10</v>
      </c>
    </row>
    <row r="4" spans="1:3" x14ac:dyDescent="0.25">
      <c r="A4" s="285" t="s">
        <v>288</v>
      </c>
      <c r="B4" s="1">
        <f t="shared" si="0"/>
        <v>-9</v>
      </c>
      <c r="C4">
        <v>0</v>
      </c>
    </row>
    <row r="5" spans="1:3" x14ac:dyDescent="0.25">
      <c r="A5" s="1" t="s">
        <v>291</v>
      </c>
      <c r="B5" s="1">
        <f t="shared" si="0"/>
        <v>1</v>
      </c>
      <c r="C5">
        <v>10</v>
      </c>
    </row>
    <row r="6" spans="1:3" ht="15.75" x14ac:dyDescent="0.25">
      <c r="A6" s="221" t="s">
        <v>280</v>
      </c>
      <c r="B6" s="1">
        <f t="shared" si="0"/>
        <v>11</v>
      </c>
      <c r="C6" s="49">
        <v>15</v>
      </c>
    </row>
    <row r="7" spans="1:3" x14ac:dyDescent="0.25">
      <c r="A7" s="114" t="s">
        <v>281</v>
      </c>
      <c r="B7" s="1">
        <f t="shared" si="0"/>
        <v>16</v>
      </c>
      <c r="C7">
        <v>20</v>
      </c>
    </row>
    <row r="8" spans="1:3" x14ac:dyDescent="0.25">
      <c r="A8" s="222" t="s">
        <v>282</v>
      </c>
      <c r="B8" s="1">
        <f t="shared" si="0"/>
        <v>21</v>
      </c>
      <c r="C8">
        <v>25</v>
      </c>
    </row>
    <row r="9" spans="1:3" x14ac:dyDescent="0.25">
      <c r="A9" s="264" t="s">
        <v>283</v>
      </c>
      <c r="B9" s="1">
        <f t="shared" si="0"/>
        <v>26</v>
      </c>
      <c r="C9">
        <v>30</v>
      </c>
    </row>
    <row r="10" spans="1:3" x14ac:dyDescent="0.25">
      <c r="A10" s="223" t="s">
        <v>284</v>
      </c>
      <c r="B10" s="1">
        <f t="shared" ref="B10:B12" si="1">C9+1</f>
        <v>31</v>
      </c>
      <c r="C10">
        <v>35</v>
      </c>
    </row>
    <row r="11" spans="1:3" x14ac:dyDescent="0.25">
      <c r="A11" s="224" t="s">
        <v>285</v>
      </c>
      <c r="B11" s="1">
        <f t="shared" si="1"/>
        <v>36</v>
      </c>
      <c r="C11">
        <v>40</v>
      </c>
    </row>
    <row r="12" spans="1:3" x14ac:dyDescent="0.25">
      <c r="A12" s="263" t="s">
        <v>286</v>
      </c>
      <c r="B12" s="1">
        <f t="shared" si="1"/>
        <v>41</v>
      </c>
      <c r="C12">
        <v>50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Lapas7"/>
  <dimension ref="A1:J16"/>
  <sheetViews>
    <sheetView workbookViewId="0">
      <selection activeCell="B15" sqref="B15"/>
    </sheetView>
  </sheetViews>
  <sheetFormatPr defaultRowHeight="21" x14ac:dyDescent="0.25"/>
  <cols>
    <col min="1" max="1" width="28.5703125" style="226" bestFit="1" customWidth="1"/>
    <col min="2" max="2" width="21" style="226" customWidth="1"/>
    <col min="3" max="8" width="13.42578125" style="226" customWidth="1"/>
    <col min="9" max="10" width="14.85546875" style="226" customWidth="1"/>
    <col min="11" max="16384" width="9.140625" style="226"/>
  </cols>
  <sheetData>
    <row r="1" spans="1:10" x14ac:dyDescent="0.25">
      <c r="A1" s="226" t="s">
        <v>260</v>
      </c>
      <c r="B1" s="227" t="s">
        <v>141</v>
      </c>
    </row>
    <row r="2" spans="1:10" ht="21.75" thickBot="1" x14ac:dyDescent="0.3"/>
    <row r="3" spans="1:10" ht="22.5" thickTop="1" thickBot="1" x14ac:dyDescent="0.3">
      <c r="A3" s="226" t="s">
        <v>29</v>
      </c>
      <c r="B3" s="230" t="s">
        <v>249</v>
      </c>
      <c r="I3" s="226">
        <v>1</v>
      </c>
    </row>
    <row r="4" spans="1:10" ht="43.5" thickTop="1" thickBot="1" x14ac:dyDescent="0.3">
      <c r="C4" s="231" t="s">
        <v>156</v>
      </c>
      <c r="D4" s="226" t="s">
        <v>157</v>
      </c>
      <c r="E4" s="231" t="s">
        <v>158</v>
      </c>
      <c r="F4" s="226" t="s">
        <v>235</v>
      </c>
      <c r="G4" s="226" t="s">
        <v>159</v>
      </c>
      <c r="H4" s="226" t="s">
        <v>234</v>
      </c>
    </row>
    <row r="5" spans="1:10" ht="22.5" thickTop="1" thickBot="1" x14ac:dyDescent="0.3">
      <c r="C5" s="228" t="s">
        <v>143</v>
      </c>
      <c r="D5" s="228" t="s">
        <v>144</v>
      </c>
      <c r="E5" s="228" t="s">
        <v>146</v>
      </c>
      <c r="F5" s="228" t="s">
        <v>248</v>
      </c>
      <c r="G5" s="228" t="s">
        <v>145</v>
      </c>
      <c r="H5" s="229" t="s">
        <v>228</v>
      </c>
      <c r="I5" s="226">
        <f>3*6</f>
        <v>18</v>
      </c>
    </row>
    <row r="6" spans="1:10" ht="22.5" thickTop="1" thickBot="1" x14ac:dyDescent="0.3">
      <c r="A6" s="226" t="s">
        <v>47</v>
      </c>
      <c r="B6" s="230" t="s">
        <v>149</v>
      </c>
      <c r="C6" s="236"/>
      <c r="D6" s="236"/>
      <c r="E6" s="236"/>
      <c r="F6" s="236"/>
      <c r="G6" s="236"/>
      <c r="H6" s="236"/>
    </row>
    <row r="7" spans="1:10" ht="22.5" thickTop="1" thickBot="1" x14ac:dyDescent="0.3">
      <c r="B7" s="239" t="s">
        <v>155</v>
      </c>
      <c r="C7" s="232"/>
      <c r="D7" s="232"/>
      <c r="E7" s="236"/>
      <c r="F7" s="236"/>
      <c r="G7" s="236"/>
      <c r="H7" s="236"/>
    </row>
    <row r="8" spans="1:10" ht="22.5" thickTop="1" thickBot="1" x14ac:dyDescent="0.3">
      <c r="A8" s="226" t="s">
        <v>24</v>
      </c>
      <c r="B8" s="230" t="s">
        <v>137</v>
      </c>
      <c r="C8" s="232"/>
      <c r="D8" s="232"/>
      <c r="E8" s="232"/>
      <c r="F8" s="232"/>
      <c r="G8" s="232"/>
      <c r="H8" s="232"/>
    </row>
    <row r="9" spans="1:10" ht="22.5" thickTop="1" thickBot="1" x14ac:dyDescent="0.3">
      <c r="A9" s="226" t="s">
        <v>20</v>
      </c>
      <c r="B9" s="230" t="s">
        <v>150</v>
      </c>
      <c r="C9" s="232"/>
      <c r="D9" s="232"/>
      <c r="E9" s="232"/>
      <c r="F9" s="232"/>
      <c r="G9" s="232"/>
      <c r="H9" s="232"/>
    </row>
    <row r="10" spans="1:10" ht="22.5" thickTop="1" thickBot="1" x14ac:dyDescent="0.3">
      <c r="B10" s="239" t="s">
        <v>252</v>
      </c>
      <c r="C10" s="238"/>
      <c r="D10" s="238"/>
      <c r="E10" s="238"/>
      <c r="F10" s="238"/>
      <c r="G10" s="238"/>
      <c r="H10" s="238"/>
    </row>
    <row r="11" spans="1:10" ht="22.5" thickTop="1" thickBot="1" x14ac:dyDescent="0.3">
      <c r="B11" s="239" t="s">
        <v>253</v>
      </c>
      <c r="C11" s="238"/>
      <c r="D11" s="238"/>
      <c r="E11" s="238"/>
      <c r="F11" s="238"/>
      <c r="G11" s="238"/>
      <c r="H11" s="238"/>
    </row>
    <row r="12" spans="1:10" ht="22.5" thickTop="1" thickBot="1" x14ac:dyDescent="0.3">
      <c r="B12" s="237"/>
      <c r="C12" s="238"/>
      <c r="D12" s="238"/>
      <c r="E12" s="238"/>
      <c r="F12" s="238"/>
      <c r="G12" s="238"/>
      <c r="H12" s="238"/>
    </row>
    <row r="13" spans="1:10" ht="22.5" thickTop="1" thickBot="1" x14ac:dyDescent="0.3">
      <c r="A13" s="226" t="s">
        <v>233</v>
      </c>
      <c r="B13" s="228" t="s">
        <v>229</v>
      </c>
      <c r="I13" s="226">
        <f>+I5*2</f>
        <v>36</v>
      </c>
    </row>
    <row r="14" spans="1:10" ht="22.5" thickTop="1" thickBot="1" x14ac:dyDescent="0.3">
      <c r="A14" s="226" t="s">
        <v>160</v>
      </c>
      <c r="B14" s="230" t="s">
        <v>139</v>
      </c>
      <c r="I14" s="226">
        <f>+I13*2</f>
        <v>72</v>
      </c>
      <c r="J14" s="226">
        <v>73</v>
      </c>
    </row>
    <row r="15" spans="1:10" ht="22.5" thickTop="1" thickBot="1" x14ac:dyDescent="0.3">
      <c r="A15" s="226" t="s">
        <v>305</v>
      </c>
      <c r="B15" s="230" t="s">
        <v>139</v>
      </c>
    </row>
    <row r="16" spans="1:10" ht="21.75" thickTop="1"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Lapas4"/>
  <dimension ref="A1:J3"/>
  <sheetViews>
    <sheetView workbookViewId="0">
      <selection activeCell="B9" sqref="B9"/>
    </sheetView>
  </sheetViews>
  <sheetFormatPr defaultRowHeight="15" x14ac:dyDescent="0.25"/>
  <sheetData>
    <row r="1" spans="1:10" ht="30" x14ac:dyDescent="0.25">
      <c r="A1" s="57" t="s">
        <v>178</v>
      </c>
    </row>
    <row r="2" spans="1:10" ht="30" x14ac:dyDescent="0.25">
      <c r="A2" s="69" t="str">
        <f>MID($A$1,COLUMN(),1)</f>
        <v>a</v>
      </c>
      <c r="B2" s="69" t="str">
        <f t="shared" ref="B2:J2" si="0">MID($A$1,COLUMN(),1)</f>
        <v>s</v>
      </c>
      <c r="C2" s="69" t="str">
        <f t="shared" si="0"/>
        <v>d</v>
      </c>
      <c r="D2" s="69" t="str">
        <f t="shared" si="0"/>
        <v>f</v>
      </c>
      <c r="E2" s="69" t="str">
        <f t="shared" si="0"/>
        <v>g</v>
      </c>
      <c r="F2" s="69" t="str">
        <f t="shared" si="0"/>
        <v>h</v>
      </c>
      <c r="G2" s="69" t="str">
        <f t="shared" si="0"/>
        <v>j</v>
      </c>
      <c r="H2" s="69" t="str">
        <f>MID($A$1,COLUMN(),1)</f>
        <v/>
      </c>
      <c r="I2" s="69" t="str">
        <f t="shared" si="0"/>
        <v/>
      </c>
      <c r="J2" s="69" t="str">
        <f t="shared" si="0"/>
        <v/>
      </c>
    </row>
    <row r="3" spans="1:10" ht="30" x14ac:dyDescent="0.25">
      <c r="A3" s="57" t="s">
        <v>175</v>
      </c>
      <c r="B3" s="57" t="s">
        <v>173</v>
      </c>
      <c r="C3" s="68" t="s">
        <v>172</v>
      </c>
      <c r="D3" s="57" t="s">
        <v>174</v>
      </c>
      <c r="E3" s="57" t="s">
        <v>176</v>
      </c>
      <c r="F3" s="57" t="s">
        <v>177</v>
      </c>
      <c r="G3" s="57" t="s">
        <v>171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Darbalapiai</vt:lpstr>
      </vt:variant>
      <vt:variant>
        <vt:i4>9</vt:i4>
      </vt:variant>
      <vt:variant>
        <vt:lpstr>Įvardytieji diapazonai</vt:lpstr>
      </vt:variant>
      <vt:variant>
        <vt:i4>4</vt:i4>
      </vt:variant>
    </vt:vector>
  </HeadingPairs>
  <TitlesOfParts>
    <vt:vector size="13" baseType="lpstr">
      <vt:lpstr>Orai 3 dienos</vt:lpstr>
      <vt:lpstr>Orai 2 sav.</vt:lpstr>
      <vt:lpstr>3dien</vt:lpstr>
      <vt:lpstr>2sav</vt:lpstr>
      <vt:lpstr>Atitikmenys</vt:lpstr>
      <vt:lpstr>Tiksli para</vt:lpstr>
      <vt:lpstr>Parametrai</vt:lpstr>
      <vt:lpstr>Debesuotumas ir krituliai</vt:lpstr>
      <vt:lpstr>Simbolių išskleidimas</vt:lpstr>
      <vt:lpstr>'2sav'!_4202</vt:lpstr>
      <vt:lpstr>'Orai 2 sav.'!Print_Area</vt:lpstr>
      <vt:lpstr>'Orai 3 dienos'!Print_Area</vt:lpstr>
      <vt:lpstr>'3dien'!wdaily1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Marius Litvinas</dc:creator>
  <cp:lastModifiedBy>Marius Litvinas</cp:lastModifiedBy>
  <cp:lastPrinted>2017-10-23T03:32:28Z</cp:lastPrinted>
  <dcterms:created xsi:type="dcterms:W3CDTF">2017-05-06T01:42:39Z</dcterms:created>
  <dcterms:modified xsi:type="dcterms:W3CDTF">2017-10-23T03:37:09Z</dcterms:modified>
</cp:coreProperties>
</file>